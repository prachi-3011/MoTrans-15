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check" sheetId="1" state="visible" r:id="rId1"/>
    <sheet xmlns:r="http://schemas.openxmlformats.org/officeDocument/2006/relationships" name="Checklist" sheetId="2" state="visible" r:id="rId2"/>
  </sheets>
  <definedNames>
    <definedName name="_xlnm._FilterDatabase" localSheetId="1" hidden="1">'Checklist'!$A$1:$AB$41</definedName>
  </definedNames>
  <calcPr calcId="124519" fullCalcOnLoad="1"/>
</workbook>
</file>

<file path=xl/styles.xml><?xml version="1.0" encoding="utf-8"?>
<styleSheet xmlns="http://schemas.openxmlformats.org/spreadsheetml/2006/main">
  <numFmts count="3">
    <numFmt numFmtId="164" formatCode="yyyy-mm-dd"/>
    <numFmt numFmtId="165" formatCode="yyyy-mm-dd ddd"/>
    <numFmt numFmtId="166" formatCode="0.0000"/>
  </numFmts>
  <fonts count="5">
    <font>
      <name val="Calibri"/>
      <family val="2"/>
      <color theme="1"/>
      <sz val="11"/>
      <scheme val="minor"/>
    </font>
    <font>
      <name val="Arial"/>
      <b val="1"/>
      <color rgb="00FFFFFF"/>
      <sz val="10"/>
    </font>
    <font>
      <name val="Arial"/>
      <sz val="10"/>
    </font>
    <font>
      <name val="Arial"/>
      <color rgb="000563C1"/>
      <sz val="10"/>
      <u val="single"/>
    </font>
    <font>
      <name val="Arial"/>
      <b val="1"/>
      <sz val="10"/>
    </font>
  </fonts>
  <fills count="7">
    <fill>
      <patternFill/>
    </fill>
    <fill>
      <patternFill patternType="gray125"/>
    </fill>
    <fill>
      <patternFill patternType="solid">
        <fgColor rgb="001F3864"/>
      </patternFill>
    </fill>
    <fill>
      <patternFill patternType="solid">
        <fgColor rgb="007F6000"/>
      </patternFill>
    </fill>
    <fill>
      <patternFill patternType="solid">
        <fgColor rgb="00FFFFFF"/>
      </patternFill>
    </fill>
    <fill>
      <patternFill patternType="solid">
        <fgColor rgb="00FFF2CC"/>
      </patternFill>
    </fill>
    <fill>
      <patternFill patternType="solid">
        <fgColor rgb="00EEF3FA"/>
      </patternFill>
    </fill>
  </fills>
  <borders count="3">
    <border>
      <left/>
      <right/>
      <top/>
      <bottom/>
      <diagonal/>
    </border>
    <border>
      <left style="thin">
        <color rgb="00BFBFBF"/>
      </left>
      <right style="thin">
        <color rgb="00BFBFBF"/>
      </right>
      <top style="medium">
        <color rgb="001F3864"/>
      </top>
      <bottom style="thin">
        <color rgb="00BFBFBF"/>
      </bottom>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4" fillId="0"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2" fillId="4" borderId="1" applyAlignment="1" pivotButton="0" quotePrefix="0" xfId="0">
      <alignment vertical="top" wrapText="1"/>
    </xf>
    <xf numFmtId="165" fontId="2" fillId="4" borderId="1" applyAlignment="1" pivotButton="0" quotePrefix="0" xfId="0">
      <alignment vertical="top" wrapText="1"/>
    </xf>
    <xf numFmtId="4" fontId="2" fillId="4" borderId="1" applyAlignment="1" pivotButton="0" quotePrefix="0" xfId="0">
      <alignment vertical="top" wrapText="1"/>
    </xf>
    <xf numFmtId="166" fontId="2"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2" fillId="4" borderId="2" applyAlignment="1" pivotButton="0" quotePrefix="0" xfId="0">
      <alignment vertical="top" wrapText="1"/>
    </xf>
    <xf numFmtId="165" fontId="2" fillId="4" borderId="2" applyAlignment="1" pivotButton="0" quotePrefix="0" xfId="0">
      <alignment vertical="top" wrapText="1"/>
    </xf>
    <xf numFmtId="4" fontId="2" fillId="4" borderId="2" applyAlignment="1" pivotButton="0" quotePrefix="0" xfId="0">
      <alignment vertical="top" wrapText="1"/>
    </xf>
    <xf numFmtId="166" fontId="2" fillId="4" borderId="2" applyAlignment="1" pivotButton="0" quotePrefix="0" xfId="0">
      <alignment vertical="top" wrapText="1"/>
    </xf>
    <xf numFmtId="0" fontId="3" fillId="4" borderId="2" applyAlignment="1" pivotButton="0" quotePrefix="0" xfId="0">
      <alignment vertical="top" wrapText="1"/>
    </xf>
    <xf numFmtId="0" fontId="2" fillId="5" borderId="2" applyAlignment="1" pivotButton="0" quotePrefix="0" xfId="0">
      <alignment vertical="top" wrapText="1"/>
    </xf>
    <xf numFmtId="0" fontId="2" fillId="6" borderId="1" applyAlignment="1" pivotButton="0" quotePrefix="0" xfId="0">
      <alignment vertical="top" wrapText="1"/>
    </xf>
    <xf numFmtId="165" fontId="2" fillId="6" borderId="1" applyAlignment="1" pivotButton="0" quotePrefix="0" xfId="0">
      <alignment vertical="top" wrapText="1"/>
    </xf>
    <xf numFmtId="4" fontId="2" fillId="6" borderId="1" applyAlignment="1" pivotButton="0" quotePrefix="0" xfId="0">
      <alignment vertical="top" wrapText="1"/>
    </xf>
    <xf numFmtId="166" fontId="2" fillId="6" borderId="1" applyAlignment="1" pivotButton="0" quotePrefix="0" xfId="0">
      <alignment vertical="top" wrapText="1"/>
    </xf>
    <xf numFmtId="0" fontId="3" fillId="6" borderId="1" applyAlignment="1" pivotButton="0" quotePrefix="0" xfId="0">
      <alignment vertical="top" wrapText="1"/>
    </xf>
    <xf numFmtId="0" fontId="2" fillId="6" borderId="2" applyAlignment="1" pivotButton="0" quotePrefix="0" xfId="0">
      <alignment vertical="top" wrapText="1"/>
    </xf>
    <xf numFmtId="165" fontId="2" fillId="6" borderId="2" applyAlignment="1" pivotButton="0" quotePrefix="0" xfId="0">
      <alignment vertical="top" wrapText="1"/>
    </xf>
    <xf numFmtId="4" fontId="2" fillId="6" borderId="2" applyAlignment="1" pivotButton="0" quotePrefix="0" xfId="0">
      <alignment vertical="top" wrapText="1"/>
    </xf>
    <xf numFmtId="166" fontId="2" fillId="6" borderId="2" applyAlignment="1" pivotButton="0" quotePrefix="0" xfId="0">
      <alignment vertical="top" wrapText="1"/>
    </xf>
    <xf numFmtId="0" fontId="3" fillId="6"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federalreserve.gov/newsevents/pressreleases/monetary20220316a.htm" TargetMode="External" Id="rId1"/><Relationship Type="http://schemas.openxmlformats.org/officeDocument/2006/relationships/hyperlink" Target="https://finance.yahoo.com/quote/%5EGDAXI/history" TargetMode="External" Id="rId2"/><Relationship Type="http://schemas.openxmlformats.org/officeDocument/2006/relationships/hyperlink" Target="https://www.federalreserve.gov/newsevents/pressreleases/monetary20220316a.htm" TargetMode="External" Id="rId3"/><Relationship Type="http://schemas.openxmlformats.org/officeDocument/2006/relationships/hyperlink" Target="https://www.niftyindices.com/reports/historical-data" TargetMode="External" Id="rId4"/><Relationship Type="http://schemas.openxmlformats.org/officeDocument/2006/relationships/hyperlink" Target="https://www.federalreserve.gov/newsevents/pressreleases/monetary20220316a.htm" TargetMode="External" Id="rId5"/><Relationship Type="http://schemas.openxmlformats.org/officeDocument/2006/relationships/hyperlink" Target="https://finance.yahoo.com/quote/%5EN225/history" TargetMode="External" Id="rId6"/><Relationship Type="http://schemas.openxmlformats.org/officeDocument/2006/relationships/hyperlink" Target="https://www.federalreserve.gov/newsevents/pressreleases/monetary20220316a.htm" TargetMode="External" Id="rId7"/><Relationship Type="http://schemas.openxmlformats.org/officeDocument/2006/relationships/hyperlink" Target="https://finance.yahoo.com/quote/%5EGSPC/history" TargetMode="External" Id="rId8"/><Relationship Type="http://schemas.openxmlformats.org/officeDocument/2006/relationships/hyperlink" Target="https://www.federalreserve.gov/newsevents/pressreleases/monetary20200315a.htm" TargetMode="External" Id="rId9"/><Relationship Type="http://schemas.openxmlformats.org/officeDocument/2006/relationships/hyperlink" Target="https://finance.yahoo.com/quote/%5EGDAXI/history" TargetMode="External" Id="rId10"/><Relationship Type="http://schemas.openxmlformats.org/officeDocument/2006/relationships/hyperlink" Target="https://www.federalreserve.gov/newsevents/pressreleases/monetary20200315a.htm" TargetMode="External" Id="rId11"/><Relationship Type="http://schemas.openxmlformats.org/officeDocument/2006/relationships/hyperlink" Target="https://www.niftyindices.com/reports/historical-data" TargetMode="External" Id="rId12"/><Relationship Type="http://schemas.openxmlformats.org/officeDocument/2006/relationships/hyperlink" Target="https://www.federalreserve.gov/newsevents/pressreleases/monetary20200315a.htm" TargetMode="External" Id="rId13"/><Relationship Type="http://schemas.openxmlformats.org/officeDocument/2006/relationships/hyperlink" Target="https://finance.yahoo.com/quote/%5EN225/history" TargetMode="External" Id="rId14"/><Relationship Type="http://schemas.openxmlformats.org/officeDocument/2006/relationships/hyperlink" Target="https://www.federalreserve.gov/newsevents/pressreleases/monetary20200315a.htm" TargetMode="External" Id="rId15"/><Relationship Type="http://schemas.openxmlformats.org/officeDocument/2006/relationships/hyperlink" Target="https://finance.yahoo.com/quote/%5EGSPC/history" TargetMode="External" Id="rId16"/><Relationship Type="http://schemas.openxmlformats.org/officeDocument/2006/relationships/hyperlink" Target="https://www.federalreserve.gov/newsevents/press/monetary/20081008a.htm" TargetMode="External" Id="rId17"/><Relationship Type="http://schemas.openxmlformats.org/officeDocument/2006/relationships/hyperlink" Target="https://finance.yahoo.com/quote/%5EGDAXI/history" TargetMode="External" Id="rId18"/><Relationship Type="http://schemas.openxmlformats.org/officeDocument/2006/relationships/hyperlink" Target="https://www.federalreserve.gov/newsevents/press/monetary/20081008a.htm" TargetMode="External" Id="rId19"/><Relationship Type="http://schemas.openxmlformats.org/officeDocument/2006/relationships/hyperlink" Target="https://www.niftyindices.com/reports/historical-data" TargetMode="External" Id="rId20"/><Relationship Type="http://schemas.openxmlformats.org/officeDocument/2006/relationships/hyperlink" Target="https://www.federalreserve.gov/newsevents/press/monetary/20081008a.htm" TargetMode="External" Id="rId21"/><Relationship Type="http://schemas.openxmlformats.org/officeDocument/2006/relationships/hyperlink" Target="https://finance.yahoo.com/quote/%5EN225/history" TargetMode="External" Id="rId22"/><Relationship Type="http://schemas.openxmlformats.org/officeDocument/2006/relationships/hyperlink" Target="https://www.federalreserve.gov/newsevents/press/monetary/20081008a.htm" TargetMode="External" Id="rId23"/><Relationship Type="http://schemas.openxmlformats.org/officeDocument/2006/relationships/hyperlink" Target="https://finance.yahoo.com/quote/%5EGSPC/history" TargetMode="External" Id="rId24"/><Relationship Type="http://schemas.openxmlformats.org/officeDocument/2006/relationships/hyperlink" Target="https://www.federalreserve.gov/newsevents/pressreleases/monetary20130619a.htm" TargetMode="External" Id="rId25"/><Relationship Type="http://schemas.openxmlformats.org/officeDocument/2006/relationships/hyperlink" Target="https://finance.yahoo.com/quote/%5EGDAXI/history" TargetMode="External" Id="rId26"/><Relationship Type="http://schemas.openxmlformats.org/officeDocument/2006/relationships/hyperlink" Target="https://www.federalreserve.gov/newsevents/pressreleases/monetary20130619a.htm" TargetMode="External" Id="rId27"/><Relationship Type="http://schemas.openxmlformats.org/officeDocument/2006/relationships/hyperlink" Target="https://www.niftyindices.com/reports/historical-data" TargetMode="External" Id="rId28"/><Relationship Type="http://schemas.openxmlformats.org/officeDocument/2006/relationships/hyperlink" Target="https://www.federalreserve.gov/newsevents/pressreleases/monetary20130619a.htm" TargetMode="External" Id="rId29"/><Relationship Type="http://schemas.openxmlformats.org/officeDocument/2006/relationships/hyperlink" Target="https://finance.yahoo.com/quote/%5EN225/history" TargetMode="External" Id="rId30"/><Relationship Type="http://schemas.openxmlformats.org/officeDocument/2006/relationships/hyperlink" Target="https://www.federalreserve.gov/newsevents/pressreleases/monetary20130619a.htm" TargetMode="External" Id="rId31"/><Relationship Type="http://schemas.openxmlformats.org/officeDocument/2006/relationships/hyperlink" Target="https://finance.yahoo.com/quote/%5EGSPC/history" TargetMode="External" Id="rId32"/><Relationship Type="http://schemas.openxmlformats.org/officeDocument/2006/relationships/hyperlink" Target="https://www.ecb.europa.eu/pub/pdf/annex/Dataset_EA-MPD.xlsx" TargetMode="External" Id="rId33"/><Relationship Type="http://schemas.openxmlformats.org/officeDocument/2006/relationships/hyperlink" Target="https://finance.yahoo.com/quote/%5EGDAXI/history" TargetMode="External" Id="rId34"/><Relationship Type="http://schemas.openxmlformats.org/officeDocument/2006/relationships/hyperlink" Target="https://www.ecb.europa.eu/pub/pdf/annex/Dataset_EA-MPD.xlsx" TargetMode="External" Id="rId35"/><Relationship Type="http://schemas.openxmlformats.org/officeDocument/2006/relationships/hyperlink" Target="https://www.niftyindices.com/reports/historical-data" TargetMode="External" Id="rId36"/><Relationship Type="http://schemas.openxmlformats.org/officeDocument/2006/relationships/hyperlink" Target="https://www.ecb.europa.eu/pub/pdf/annex/Dataset_EA-MPD.xlsx" TargetMode="External" Id="rId37"/><Relationship Type="http://schemas.openxmlformats.org/officeDocument/2006/relationships/hyperlink" Target="https://finance.yahoo.com/quote/%5EN225/history" TargetMode="External" Id="rId38"/><Relationship Type="http://schemas.openxmlformats.org/officeDocument/2006/relationships/hyperlink" Target="https://www.ecb.europa.eu/pub/pdf/annex/Dataset_EA-MPD.xlsx" TargetMode="External" Id="rId39"/><Relationship Type="http://schemas.openxmlformats.org/officeDocument/2006/relationships/hyperlink" Target="https://finance.yahoo.com/quote/%5EGSPC/history" TargetMode="External" Id="rId40"/><Relationship Type="http://schemas.openxmlformats.org/officeDocument/2006/relationships/hyperlink" Target="https://www.ecb.europa.eu/pub/pdf/annex/Dataset_EA-MPD.xlsx" TargetMode="External" Id="rId41"/><Relationship Type="http://schemas.openxmlformats.org/officeDocument/2006/relationships/hyperlink" Target="https://finance.yahoo.com/quote/%5EGDAXI/history" TargetMode="External" Id="rId42"/><Relationship Type="http://schemas.openxmlformats.org/officeDocument/2006/relationships/hyperlink" Target="https://www.ecb.europa.eu/pub/pdf/annex/Dataset_EA-MPD.xlsx" TargetMode="External" Id="rId43"/><Relationship Type="http://schemas.openxmlformats.org/officeDocument/2006/relationships/hyperlink" Target="https://www.niftyindices.com/reports/historical-data" TargetMode="External" Id="rId44"/><Relationship Type="http://schemas.openxmlformats.org/officeDocument/2006/relationships/hyperlink" Target="https://www.ecb.europa.eu/pub/pdf/annex/Dataset_EA-MPD.xlsx" TargetMode="External" Id="rId45"/><Relationship Type="http://schemas.openxmlformats.org/officeDocument/2006/relationships/hyperlink" Target="https://finance.yahoo.com/quote/%5EN225/history" TargetMode="External" Id="rId46"/><Relationship Type="http://schemas.openxmlformats.org/officeDocument/2006/relationships/hyperlink" Target="https://www.ecb.europa.eu/pub/pdf/annex/Dataset_EA-MPD.xlsx" TargetMode="External" Id="rId47"/><Relationship Type="http://schemas.openxmlformats.org/officeDocument/2006/relationships/hyperlink" Target="https://finance.yahoo.com/quote/%5EGSPC/history" TargetMode="External" Id="rId48"/><Relationship Type="http://schemas.openxmlformats.org/officeDocument/2006/relationships/hyperlink" Target="https://www.rbi.org.in/Scripts/Annualpolicy.aspx" TargetMode="External" Id="rId49"/><Relationship Type="http://schemas.openxmlformats.org/officeDocument/2006/relationships/hyperlink" Target="https://finance.yahoo.com/quote/%5EGDAXI/history" TargetMode="External" Id="rId50"/><Relationship Type="http://schemas.openxmlformats.org/officeDocument/2006/relationships/hyperlink" Target="https://www.rbi.org.in/Scripts/Annualpolicy.aspx" TargetMode="External" Id="rId51"/><Relationship Type="http://schemas.openxmlformats.org/officeDocument/2006/relationships/hyperlink" Target="https://www.niftyindices.com/reports/historical-data" TargetMode="External" Id="rId52"/><Relationship Type="http://schemas.openxmlformats.org/officeDocument/2006/relationships/hyperlink" Target="https://www.rbi.org.in/Scripts/Annualpolicy.aspx" TargetMode="External" Id="rId53"/><Relationship Type="http://schemas.openxmlformats.org/officeDocument/2006/relationships/hyperlink" Target="https://finance.yahoo.com/quote/%5EN225/history" TargetMode="External" Id="rId54"/><Relationship Type="http://schemas.openxmlformats.org/officeDocument/2006/relationships/hyperlink" Target="https://www.rbi.org.in/Scripts/Annualpolicy.aspx" TargetMode="External" Id="rId55"/><Relationship Type="http://schemas.openxmlformats.org/officeDocument/2006/relationships/hyperlink" Target="https://finance.yahoo.com/quote/%5EGSPC/history" TargetMode="External" Id="rId56"/><Relationship Type="http://schemas.openxmlformats.org/officeDocument/2006/relationships/hyperlink" Target="https://www.rbi.org.in/Scripts/Annualpolicy.aspx" TargetMode="External" Id="rId57"/><Relationship Type="http://schemas.openxmlformats.org/officeDocument/2006/relationships/hyperlink" Target="https://finance.yahoo.com/quote/%5EGDAXI/history" TargetMode="External" Id="rId58"/><Relationship Type="http://schemas.openxmlformats.org/officeDocument/2006/relationships/hyperlink" Target="https://www.rbi.org.in/Scripts/Annualpolicy.aspx" TargetMode="External" Id="rId59"/><Relationship Type="http://schemas.openxmlformats.org/officeDocument/2006/relationships/hyperlink" Target="https://www.niftyindices.com/reports/historical-data" TargetMode="External" Id="rId60"/><Relationship Type="http://schemas.openxmlformats.org/officeDocument/2006/relationships/hyperlink" Target="https://www.rbi.org.in/Scripts/Annualpolicy.aspx" TargetMode="External" Id="rId61"/><Relationship Type="http://schemas.openxmlformats.org/officeDocument/2006/relationships/hyperlink" Target="https://finance.yahoo.com/quote/%5EN225/history" TargetMode="External" Id="rId62"/><Relationship Type="http://schemas.openxmlformats.org/officeDocument/2006/relationships/hyperlink" Target="https://www.rbi.org.in/Scripts/Annualpolicy.aspx" TargetMode="External" Id="rId63"/><Relationship Type="http://schemas.openxmlformats.org/officeDocument/2006/relationships/hyperlink" Target="https://finance.yahoo.com/quote/%5EGSPC/history" TargetMode="External" Id="rId64"/><Relationship Type="http://schemas.openxmlformats.org/officeDocument/2006/relationships/hyperlink" Target="https://www.boj.or.jp/en/mopo/mpmdeci/mpr_2016/k160129b.pdf" TargetMode="External" Id="rId65"/><Relationship Type="http://schemas.openxmlformats.org/officeDocument/2006/relationships/hyperlink" Target="https://finance.yahoo.com/quote/%5EGDAXI/history" TargetMode="External" Id="rId66"/><Relationship Type="http://schemas.openxmlformats.org/officeDocument/2006/relationships/hyperlink" Target="https://www.boj.or.jp/en/mopo/mpmdeci/mpr_2016/k160129b.pdf" TargetMode="External" Id="rId67"/><Relationship Type="http://schemas.openxmlformats.org/officeDocument/2006/relationships/hyperlink" Target="https://www.niftyindices.com/reports/historical-data" TargetMode="External" Id="rId68"/><Relationship Type="http://schemas.openxmlformats.org/officeDocument/2006/relationships/hyperlink" Target="https://www.boj.or.jp/en/mopo/mpmdeci/mpr_2016/k160129b.pdf" TargetMode="External" Id="rId69"/><Relationship Type="http://schemas.openxmlformats.org/officeDocument/2006/relationships/hyperlink" Target="https://finance.yahoo.com/quote/%5EN225/history" TargetMode="External" Id="rId70"/><Relationship Type="http://schemas.openxmlformats.org/officeDocument/2006/relationships/hyperlink" Target="https://www.boj.or.jp/en/mopo/mpmdeci/mpr_2016/k160129b.pdf" TargetMode="External" Id="rId71"/><Relationship Type="http://schemas.openxmlformats.org/officeDocument/2006/relationships/hyperlink" Target="https://finance.yahoo.com/quote/%5EGSPC/history" TargetMode="External" Id="rId72"/><Relationship Type="http://schemas.openxmlformats.org/officeDocument/2006/relationships/hyperlink" Target="https://www.boj.or.jp/en/mopo/mpmdeci/state_2024/k240319a.htm" TargetMode="External" Id="rId73"/><Relationship Type="http://schemas.openxmlformats.org/officeDocument/2006/relationships/hyperlink" Target="https://finance.yahoo.com/quote/%5EGDAXI/history" TargetMode="External" Id="rId74"/><Relationship Type="http://schemas.openxmlformats.org/officeDocument/2006/relationships/hyperlink" Target="https://www.boj.or.jp/en/mopo/mpmdeci/state_2024/k240319a.htm" TargetMode="External" Id="rId75"/><Relationship Type="http://schemas.openxmlformats.org/officeDocument/2006/relationships/hyperlink" Target="https://www.niftyindices.com/reports/historical-data" TargetMode="External" Id="rId76"/><Relationship Type="http://schemas.openxmlformats.org/officeDocument/2006/relationships/hyperlink" Target="https://www.boj.or.jp/en/mopo/mpmdeci/state_2024/k240319a.htm" TargetMode="External" Id="rId77"/><Relationship Type="http://schemas.openxmlformats.org/officeDocument/2006/relationships/hyperlink" Target="https://finance.yahoo.com/quote/%5EN225/history" TargetMode="External" Id="rId78"/><Relationship Type="http://schemas.openxmlformats.org/officeDocument/2006/relationships/hyperlink" Target="https://www.boj.or.jp/en/mopo/mpmdeci/state_2024/k240319a.htm" TargetMode="External" Id="rId79"/><Relationship Type="http://schemas.openxmlformats.org/officeDocument/2006/relationships/hyperlink" Target="https://finance.yahoo.com/quote/%5EGSPC/history" TargetMode="External" Id="rId80"/></Relationships>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20" customWidth="1" min="1" max="1"/>
  </cols>
  <sheetData>
    <row r="1">
      <c r="A1" s="1" t="inlineStr">
        <is>
          <t>Phase B hand-check: 10 policy announcements x 4 stock markets (40 rows)</t>
        </is>
      </c>
    </row>
    <row r="2">
      <c r="A2" s="2" t="inlineStr">
        <is>
          <t>Gate before Phase C. Fill only the yellow columns on the Checklist sheet (Yes / No / Unsure, your name, notes). Do not edit any other cell.</t>
        </is>
      </c>
    </row>
    <row r="3">
      <c r="A3" s="2" t="inlineStr"/>
    </row>
    <row r="4">
      <c r="A4" s="1" t="inlineStr">
        <is>
          <t>CHECK 1: Date &amp; time right?</t>
        </is>
      </c>
    </row>
    <row r="5">
      <c r="A5" s="2" t="inlineStr">
        <is>
          <t>Click 'Open announcement'. Is the announcement on this date? If a time is shown in 'Announced', does the source show the same time (Fed pages say 'For release at ...')? For RBI rows find the press release of that date on rbi.org.in; for ECB rows the date is enough (13:45 CET to June 2022, 14:15 CET from July 2022). For BoJ rows the time is when the meeting ended (from the minutes).</t>
        </is>
      </c>
    </row>
    <row r="6">
      <c r="A6" s="1" t="inlineStr">
        <is>
          <t>CHECK 2: Sessions right?</t>
        </is>
      </c>
    </row>
    <row r="7">
      <c r="A7" s="2" t="inlineStr">
        <is>
          <t>Reacting session = the first trading day of that market whose CLOSE is after 'Window start (UTC)'. Baseline = that market's previous trading day. Watch for weekends and holidays. Market hours (local): NYSE 09:30-16:00 New York; Xetra 09:00-17:30 Frankfurt; NSE 09:15-15:30 India; Tokyo 09:00-15:00 (15:30 from 5 Nov 2024). Rows marked 'Timing ambiguous = Yes' have an unknown or wide time, so the earliest possible session is used on purpose; only check it follows that rule.</t>
        </is>
      </c>
    </row>
    <row r="8">
      <c r="A8" s="1" t="inlineStr">
        <is>
          <t>CHECK 3 and 4: Closing prices right?</t>
        </is>
      </c>
    </row>
    <row r="9">
      <c r="A9" s="2" t="inlineStr">
        <is>
          <t>Click 'Open price history' and look up the closing value on the baseline and reacting dates. Differences under 0.05% are fine (data vendors round). The Match? column already confirms the 1-day return equals ln(Reacting close / Baseline close).</t>
        </is>
      </c>
    </row>
    <row r="10">
      <c r="A10" s="2" t="inlineStr"/>
    </row>
    <row r="11">
      <c r="A11" s="2" t="inlineStr">
        <is>
          <t>If anything is wrong: answer No, write what you saw in Notes (with the source value), and tell the Data lead. Do not change the numbers here; the pipeline is fixed and the sheet regenerated.</t>
        </is>
      </c>
    </row>
    <row r="12">
      <c r="A12" s="2" t="inlineStr"/>
    </row>
    <row r="13">
      <c r="A13" s="1" t="inlineStr">
        <is>
          <t>Example of a completed row (format only):</t>
        </is>
      </c>
    </row>
    <row r="14">
      <c r="A14" s="2" t="inlineStr">
        <is>
          <t>CHECK 1 = Yes | CHECK 2 = Yes | CHECK 3 = Yes | CHECK 4 = No | Checked by = A. Reviewer | Notes = 'Yahoo reacting close differs from the sheet by 0.3% - value seen: &lt;number&gt;'</t>
        </is>
      </c>
    </row>
    <row r="15">
      <c r="A15" s="2" t="inlineStr"/>
    </row>
    <row r="16">
      <c r="A16" s="2" t="inlineStr">
        <is>
          <t>Generated by src/hand_check.py from data/interim/pilot_events.parquet. Rule: DECISIONS.md DECISION-013.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15" customWidth="1" min="2" max="2"/>
    <col width="14" customWidth="1" min="3" max="3"/>
    <col width="9" customWidth="1" min="4" max="4"/>
    <col width="7" customWidth="1" min="5" max="5"/>
    <col width="30" customWidth="1" min="6" max="6"/>
    <col width="17" customWidth="1" min="7" max="7"/>
    <col width="10" customWidth="1" min="8" max="8"/>
    <col width="17" customWidth="1" min="9" max="9"/>
    <col width="20" customWidth="1" min="10" max="10"/>
    <col width="15" customWidth="1" min="11" max="11"/>
    <col width="15" customWidth="1" min="12" max="12"/>
    <col width="9" customWidth="1" min="13" max="13"/>
    <col width="9" customWidth="1" min="14" max="14"/>
    <col width="12" customWidth="1" min="15" max="15"/>
    <col width="12" customWidth="1" min="16" max="16"/>
    <col width="11" customWidth="1" min="17" max="17"/>
    <col width="11" customWidth="1" min="18" max="18"/>
    <col width="8" customWidth="1" min="19" max="19"/>
    <col width="11" customWidth="1" min="20" max="20"/>
    <col width="16" customWidth="1" min="21" max="21"/>
    <col width="16" customWidth="1" min="22" max="22"/>
    <col width="12" customWidth="1" min="23" max="23"/>
    <col width="12" customWidth="1" min="24" max="24"/>
    <col width="12" customWidth="1" min="25" max="25"/>
    <col width="12" customWidth="1" min="26" max="26"/>
    <col width="12" customWidth="1" min="27" max="27"/>
    <col width="30" customWidth="1" min="28" max="28"/>
  </cols>
  <sheetData>
    <row r="1" ht="54" customHeight="1">
      <c r="A1" s="3" t="inlineStr">
        <is>
          <t>#</t>
        </is>
      </c>
      <c r="B1" s="3" t="inlineStr">
        <is>
          <t>Event</t>
        </is>
      </c>
      <c r="C1" s="3" t="inlineStr">
        <is>
          <t>Central bank</t>
        </is>
      </c>
      <c r="D1" s="3" t="inlineStr">
        <is>
          <t>Decision</t>
        </is>
      </c>
      <c r="E1" s="3" t="inlineStr">
        <is>
          <t>Size (bp)</t>
        </is>
      </c>
      <c r="F1" s="3" t="inlineStr">
        <is>
          <t>Why this event</t>
        </is>
      </c>
      <c r="G1" s="3" t="inlineStr">
        <is>
          <t>Announced (local time)</t>
        </is>
      </c>
      <c r="H1" s="3" t="inlineStr">
        <is>
          <t>Time quality</t>
        </is>
      </c>
      <c r="I1" s="3" t="inlineStr">
        <is>
          <t>Window start (UTC)</t>
        </is>
      </c>
      <c r="J1" s="3" t="inlineStr">
        <is>
          <t>Market: index</t>
        </is>
      </c>
      <c r="K1" s="3" t="inlineStr">
        <is>
          <t>Baseline session
(last close before news)</t>
        </is>
      </c>
      <c r="L1" s="3" t="inlineStr">
        <is>
          <t>Reacting session
(first close after news)</t>
        </is>
      </c>
      <c r="M1" s="3" t="inlineStr">
        <is>
          <t>News during trading?</t>
        </is>
      </c>
      <c r="N1" s="3" t="inlineStr">
        <is>
          <t>Timing ambiguous?</t>
        </is>
      </c>
      <c r="O1" s="3" t="inlineStr">
        <is>
          <t>Baseline close</t>
        </is>
      </c>
      <c r="P1" s="3" t="inlineStr">
        <is>
          <t>Reacting close</t>
        </is>
      </c>
      <c r="Q1" s="3" t="inlineStr">
        <is>
          <t>1-day return
(pipeline)</t>
        </is>
      </c>
      <c r="R1" s="3" t="inlineStr">
        <is>
          <t>1-day return
(recomputed)</t>
        </is>
      </c>
      <c r="S1" s="3" t="inlineStr">
        <is>
          <t>Match?</t>
        </is>
      </c>
      <c r="T1" s="3" t="inlineStr">
        <is>
          <t>5-day return
(pipeline)</t>
        </is>
      </c>
      <c r="U1" s="3" t="inlineStr">
        <is>
          <t>Announcement source</t>
        </is>
      </c>
      <c r="V1" s="3" t="inlineStr">
        <is>
          <t>Price source</t>
        </is>
      </c>
      <c r="W1" s="4" t="inlineStr">
        <is>
          <t>CHECK 1
Date &amp; time right?</t>
        </is>
      </c>
      <c r="X1" s="4" t="inlineStr">
        <is>
          <t>CHECK 2
Sessions right?</t>
        </is>
      </c>
      <c r="Y1" s="4" t="inlineStr">
        <is>
          <t>CHECK 3
Baseline close right?</t>
        </is>
      </c>
      <c r="Z1" s="4" t="inlineStr">
        <is>
          <t>CHECK 4
Reacting close right?</t>
        </is>
      </c>
      <c r="AA1" s="4" t="inlineStr">
        <is>
          <t>Checked by</t>
        </is>
      </c>
      <c r="AB1" s="4" t="inlineStr">
        <is>
          <t>Notes</t>
        </is>
      </c>
    </row>
    <row r="2">
      <c r="A2" s="5" t="n">
        <v>1</v>
      </c>
      <c r="B2" s="5" t="inlineStr">
        <is>
          <t>fed_2022-03-16</t>
        </is>
      </c>
      <c r="C2" s="5" t="inlineStr">
        <is>
          <t>Federal Reserve</t>
        </is>
      </c>
      <c r="D2" s="5" t="inlineStr">
        <is>
          <t>hike</t>
        </is>
      </c>
      <c r="E2" s="5" t="n">
        <v>25</v>
      </c>
      <c r="F2" s="5" t="inlineStr">
        <is>
          <t>First hike of the 2022 cycle; exact time; clean same-day vs next-day case</t>
        </is>
      </c>
      <c r="G2" s="5" t="inlineStr">
        <is>
          <t>14:00 New York</t>
        </is>
      </c>
      <c r="H2" s="5" t="inlineStr">
        <is>
          <t>exact</t>
        </is>
      </c>
      <c r="I2" s="5" t="inlineStr">
        <is>
          <t>2022-03-16 18:00:00</t>
        </is>
      </c>
      <c r="J2" s="5" t="inlineStr">
        <is>
          <t>Germany: DAX</t>
        </is>
      </c>
      <c r="K2" s="6" t="n">
        <v>44636</v>
      </c>
      <c r="L2" s="6" t="n">
        <v>44637</v>
      </c>
      <c r="M2" s="5" t="inlineStr">
        <is>
          <t>No</t>
        </is>
      </c>
      <c r="N2" s="5" t="inlineStr">
        <is>
          <t>No</t>
        </is>
      </c>
      <c r="O2" s="7" t="n">
        <v>14440.740234375</v>
      </c>
      <c r="P2" s="7" t="n">
        <v>14388.0595703125</v>
      </c>
      <c r="Q2" s="8" t="n">
        <v>-0.00365</v>
      </c>
      <c r="R2" s="8">
        <f>LN(P2/O2)</f>
        <v/>
      </c>
      <c r="S2" s="5">
        <f>IF(ABS(R2-Q2)&lt;0.00001,"Yes","NO")</f>
        <v/>
      </c>
      <c r="T2" s="8" t="n">
        <v>-0.01094</v>
      </c>
      <c r="U2" s="9" t="inlineStr">
        <is>
          <t>Open announcement</t>
        </is>
      </c>
      <c r="V2" s="9" t="inlineStr">
        <is>
          <t>Open price history</t>
        </is>
      </c>
      <c r="W2" s="10" t="inlineStr"/>
      <c r="X2" s="10" t="inlineStr"/>
      <c r="Y2" s="10" t="inlineStr"/>
      <c r="Z2" s="10" t="inlineStr"/>
      <c r="AA2" s="10" t="inlineStr"/>
      <c r="AB2" s="10" t="inlineStr"/>
    </row>
    <row r="3">
      <c r="A3" s="11" t="n">
        <v>2</v>
      </c>
      <c r="B3" s="11" t="inlineStr">
        <is>
          <t>fed_2022-03-16</t>
        </is>
      </c>
      <c r="C3" s="11" t="inlineStr">
        <is>
          <t>Federal Reserve</t>
        </is>
      </c>
      <c r="D3" s="11" t="inlineStr">
        <is>
          <t>hike</t>
        </is>
      </c>
      <c r="E3" s="11" t="n">
        <v>25</v>
      </c>
      <c r="F3" s="11" t="inlineStr">
        <is>
          <t>First hike of the 2022 cycle; exact time; clean same-day vs next-day case</t>
        </is>
      </c>
      <c r="G3" s="11" t="inlineStr">
        <is>
          <t>14:00 New York</t>
        </is>
      </c>
      <c r="H3" s="11" t="inlineStr">
        <is>
          <t>exact</t>
        </is>
      </c>
      <c r="I3" s="11" t="inlineStr">
        <is>
          <t>2022-03-16 18:00:00</t>
        </is>
      </c>
      <c r="J3" s="11" t="inlineStr">
        <is>
          <t>India: NIFTY 50</t>
        </is>
      </c>
      <c r="K3" s="12" t="n">
        <v>44636</v>
      </c>
      <c r="L3" s="12" t="n">
        <v>44637</v>
      </c>
      <c r="M3" s="11" t="inlineStr">
        <is>
          <t>No</t>
        </is>
      </c>
      <c r="N3" s="11" t="inlineStr">
        <is>
          <t>No</t>
        </is>
      </c>
      <c r="O3" s="13" t="n">
        <v>16975.35</v>
      </c>
      <c r="P3" s="13" t="n">
        <v>17287.05</v>
      </c>
      <c r="Q3" s="14" t="n">
        <v>0.0182</v>
      </c>
      <c r="R3" s="14">
        <f>LN(P3/O3)</f>
        <v/>
      </c>
      <c r="S3" s="11">
        <f>IF(ABS(R3-Q3)&lt;0.00001,"Yes","NO")</f>
        <v/>
      </c>
      <c r="T3" s="14" t="n">
        <v>0.01447</v>
      </c>
      <c r="U3" s="15" t="inlineStr">
        <is>
          <t>Open announcement</t>
        </is>
      </c>
      <c r="V3" s="15" t="inlineStr">
        <is>
          <t>Open price history</t>
        </is>
      </c>
      <c r="W3" s="16" t="inlineStr"/>
      <c r="X3" s="16" t="inlineStr"/>
      <c r="Y3" s="16" t="inlineStr"/>
      <c r="Z3" s="16" t="inlineStr"/>
      <c r="AA3" s="16" t="inlineStr"/>
      <c r="AB3" s="16" t="inlineStr"/>
    </row>
    <row r="4">
      <c r="A4" s="11" t="n">
        <v>3</v>
      </c>
      <c r="B4" s="11" t="inlineStr">
        <is>
          <t>fed_2022-03-16</t>
        </is>
      </c>
      <c r="C4" s="11" t="inlineStr">
        <is>
          <t>Federal Reserve</t>
        </is>
      </c>
      <c r="D4" s="11" t="inlineStr">
        <is>
          <t>hike</t>
        </is>
      </c>
      <c r="E4" s="11" t="n">
        <v>25</v>
      </c>
      <c r="F4" s="11" t="inlineStr">
        <is>
          <t>First hike of the 2022 cycle; exact time; clean same-day vs next-day case</t>
        </is>
      </c>
      <c r="G4" s="11" t="inlineStr">
        <is>
          <t>14:00 New York</t>
        </is>
      </c>
      <c r="H4" s="11" t="inlineStr">
        <is>
          <t>exact</t>
        </is>
      </c>
      <c r="I4" s="11" t="inlineStr">
        <is>
          <t>2022-03-16 18:00:00</t>
        </is>
      </c>
      <c r="J4" s="11" t="inlineStr">
        <is>
          <t>Japan: Nikkei 225</t>
        </is>
      </c>
      <c r="K4" s="12" t="n">
        <v>44636</v>
      </c>
      <c r="L4" s="12" t="n">
        <v>44637</v>
      </c>
      <c r="M4" s="11" t="inlineStr">
        <is>
          <t>No</t>
        </is>
      </c>
      <c r="N4" s="11" t="inlineStr">
        <is>
          <t>No</t>
        </is>
      </c>
      <c r="O4" s="13" t="n">
        <v>25762.009765625</v>
      </c>
      <c r="P4" s="13" t="n">
        <v>26652.890625</v>
      </c>
      <c r="Q4" s="14" t="n">
        <v>0.034</v>
      </c>
      <c r="R4" s="14">
        <f>LN(P4/O4)</f>
        <v/>
      </c>
      <c r="S4" s="11">
        <f>IF(ABS(R4-Q4)&lt;0.00001,"Yes","NO")</f>
        <v/>
      </c>
      <c r="T4" s="14" t="n">
        <v>0.08724</v>
      </c>
      <c r="U4" s="15" t="inlineStr">
        <is>
          <t>Open announcement</t>
        </is>
      </c>
      <c r="V4" s="15" t="inlineStr">
        <is>
          <t>Open price history</t>
        </is>
      </c>
      <c r="W4" s="16" t="inlineStr"/>
      <c r="X4" s="16" t="inlineStr"/>
      <c r="Y4" s="16" t="inlineStr"/>
      <c r="Z4" s="16" t="inlineStr"/>
      <c r="AA4" s="16" t="inlineStr"/>
      <c r="AB4" s="16" t="inlineStr"/>
    </row>
    <row r="5">
      <c r="A5" s="11" t="n">
        <v>4</v>
      </c>
      <c r="B5" s="11" t="inlineStr">
        <is>
          <t>fed_2022-03-16</t>
        </is>
      </c>
      <c r="C5" s="11" t="inlineStr">
        <is>
          <t>Federal Reserve</t>
        </is>
      </c>
      <c r="D5" s="11" t="inlineStr">
        <is>
          <t>hike</t>
        </is>
      </c>
      <c r="E5" s="11" t="n">
        <v>25</v>
      </c>
      <c r="F5" s="11" t="inlineStr">
        <is>
          <t>First hike of the 2022 cycle; exact time; clean same-day vs next-day case</t>
        </is>
      </c>
      <c r="G5" s="11" t="inlineStr">
        <is>
          <t>14:00 New York</t>
        </is>
      </c>
      <c r="H5" s="11" t="inlineStr">
        <is>
          <t>exact</t>
        </is>
      </c>
      <c r="I5" s="11" t="inlineStr">
        <is>
          <t>2022-03-16 18:00:00</t>
        </is>
      </c>
      <c r="J5" s="11" t="inlineStr">
        <is>
          <t>United States: S&amp;P 500</t>
        </is>
      </c>
      <c r="K5" s="12" t="n">
        <v>44635</v>
      </c>
      <c r="L5" s="12" t="n">
        <v>44636</v>
      </c>
      <c r="M5" s="11" t="inlineStr">
        <is>
          <t>Yes</t>
        </is>
      </c>
      <c r="N5" s="11" t="inlineStr">
        <is>
          <t>No</t>
        </is>
      </c>
      <c r="O5" s="13" t="n">
        <v>4262.4501953125</v>
      </c>
      <c r="P5" s="13" t="n">
        <v>4357.85986328125</v>
      </c>
      <c r="Q5" s="14" t="n">
        <v>0.02214</v>
      </c>
      <c r="R5" s="14">
        <f>LN(P5/O5)</f>
        <v/>
      </c>
      <c r="S5" s="11">
        <f>IF(ABS(R5-Q5)&lt;0.00001,"Yes","NO")</f>
        <v/>
      </c>
      <c r="T5" s="14" t="n">
        <v>0.05681</v>
      </c>
      <c r="U5" s="15" t="inlineStr">
        <is>
          <t>Open announcement</t>
        </is>
      </c>
      <c r="V5" s="15" t="inlineStr">
        <is>
          <t>Open price history</t>
        </is>
      </c>
      <c r="W5" s="16" t="inlineStr"/>
      <c r="X5" s="16" t="inlineStr"/>
      <c r="Y5" s="16" t="inlineStr"/>
      <c r="Z5" s="16" t="inlineStr"/>
      <c r="AA5" s="16" t="inlineStr"/>
      <c r="AB5" s="16" t="inlineStr"/>
    </row>
    <row r="6">
      <c r="A6" s="17" t="n">
        <v>5</v>
      </c>
      <c r="B6" s="17" t="inlineStr">
        <is>
          <t>fed_2020-03-15</t>
        </is>
      </c>
      <c r="C6" s="17" t="inlineStr">
        <is>
          <t>Federal Reserve</t>
        </is>
      </c>
      <c r="D6" s="17" t="inlineStr">
        <is>
          <t>cut</t>
        </is>
      </c>
      <c r="E6" s="17" t="n">
        <v>-100</v>
      </c>
      <c r="F6" s="17" t="inlineStr">
        <is>
          <t>Emergency cut announced on a Sunday evening</t>
        </is>
      </c>
      <c r="G6" s="17" t="inlineStr">
        <is>
          <t>17:00 New York</t>
        </is>
      </c>
      <c r="H6" s="17" t="inlineStr">
        <is>
          <t>exact</t>
        </is>
      </c>
      <c r="I6" s="17" t="inlineStr">
        <is>
          <t>2020-03-15 21:00:00</t>
        </is>
      </c>
      <c r="J6" s="17" t="inlineStr">
        <is>
          <t>Germany: DAX</t>
        </is>
      </c>
      <c r="K6" s="18" t="n">
        <v>43903</v>
      </c>
      <c r="L6" s="18" t="n">
        <v>43906</v>
      </c>
      <c r="M6" s="17" t="inlineStr">
        <is>
          <t>No</t>
        </is>
      </c>
      <c r="N6" s="17" t="inlineStr">
        <is>
          <t>No</t>
        </is>
      </c>
      <c r="O6" s="19" t="n">
        <v>9232.080078125</v>
      </c>
      <c r="P6" s="19" t="n">
        <v>8742.25</v>
      </c>
      <c r="Q6" s="20" t="n">
        <v>-0.05452</v>
      </c>
      <c r="R6" s="20">
        <f>LN(P6/O6)</f>
        <v/>
      </c>
      <c r="S6" s="17">
        <f>IF(ABS(R6-Q6)&lt;0.00001,"Yes","NO")</f>
        <v/>
      </c>
      <c r="T6" s="20" t="n">
        <v>-0.03339</v>
      </c>
      <c r="U6" s="21" t="inlineStr">
        <is>
          <t>Open announcement</t>
        </is>
      </c>
      <c r="V6" s="21" t="inlineStr">
        <is>
          <t>Open price history</t>
        </is>
      </c>
      <c r="W6" s="10" t="inlineStr"/>
      <c r="X6" s="10" t="inlineStr"/>
      <c r="Y6" s="10" t="inlineStr"/>
      <c r="Z6" s="10" t="inlineStr"/>
      <c r="AA6" s="10" t="inlineStr"/>
      <c r="AB6" s="10" t="inlineStr"/>
    </row>
    <row r="7">
      <c r="A7" s="22" t="n">
        <v>6</v>
      </c>
      <c r="B7" s="22" t="inlineStr">
        <is>
          <t>fed_2020-03-15</t>
        </is>
      </c>
      <c r="C7" s="22" t="inlineStr">
        <is>
          <t>Federal Reserve</t>
        </is>
      </c>
      <c r="D7" s="22" t="inlineStr">
        <is>
          <t>cut</t>
        </is>
      </c>
      <c r="E7" s="22" t="n">
        <v>-100</v>
      </c>
      <c r="F7" s="22" t="inlineStr">
        <is>
          <t>Emergency cut announced on a Sunday evening</t>
        </is>
      </c>
      <c r="G7" s="22" t="inlineStr">
        <is>
          <t>17:00 New York</t>
        </is>
      </c>
      <c r="H7" s="22" t="inlineStr">
        <is>
          <t>exact</t>
        </is>
      </c>
      <c r="I7" s="22" t="inlineStr">
        <is>
          <t>2020-03-15 21:00:00</t>
        </is>
      </c>
      <c r="J7" s="22" t="inlineStr">
        <is>
          <t>India: NIFTY 50</t>
        </is>
      </c>
      <c r="K7" s="23" t="n">
        <v>43903</v>
      </c>
      <c r="L7" s="23" t="n">
        <v>43906</v>
      </c>
      <c r="M7" s="22" t="inlineStr">
        <is>
          <t>No</t>
        </is>
      </c>
      <c r="N7" s="22" t="inlineStr">
        <is>
          <t>No</t>
        </is>
      </c>
      <c r="O7" s="24" t="n">
        <v>9955.200000000001</v>
      </c>
      <c r="P7" s="24" t="n">
        <v>9197.4</v>
      </c>
      <c r="Q7" s="25" t="n">
        <v>-0.07917</v>
      </c>
      <c r="R7" s="25">
        <f>LN(P7/O7)</f>
        <v/>
      </c>
      <c r="S7" s="22">
        <f>IF(ABS(R7-Q7)&lt;0.00001,"Yes","NO")</f>
        <v/>
      </c>
      <c r="T7" s="25" t="n">
        <v>-0.12956</v>
      </c>
      <c r="U7" s="26" t="inlineStr">
        <is>
          <t>Open announcement</t>
        </is>
      </c>
      <c r="V7" s="26" t="inlineStr">
        <is>
          <t>Open price history</t>
        </is>
      </c>
      <c r="W7" s="16" t="inlineStr"/>
      <c r="X7" s="16" t="inlineStr"/>
      <c r="Y7" s="16" t="inlineStr"/>
      <c r="Z7" s="16" t="inlineStr"/>
      <c r="AA7" s="16" t="inlineStr"/>
      <c r="AB7" s="16" t="inlineStr"/>
    </row>
    <row r="8">
      <c r="A8" s="22" t="n">
        <v>7</v>
      </c>
      <c r="B8" s="22" t="inlineStr">
        <is>
          <t>fed_2020-03-15</t>
        </is>
      </c>
      <c r="C8" s="22" t="inlineStr">
        <is>
          <t>Federal Reserve</t>
        </is>
      </c>
      <c r="D8" s="22" t="inlineStr">
        <is>
          <t>cut</t>
        </is>
      </c>
      <c r="E8" s="22" t="n">
        <v>-100</v>
      </c>
      <c r="F8" s="22" t="inlineStr">
        <is>
          <t>Emergency cut announced on a Sunday evening</t>
        </is>
      </c>
      <c r="G8" s="22" t="inlineStr">
        <is>
          <t>17:00 New York</t>
        </is>
      </c>
      <c r="H8" s="22" t="inlineStr">
        <is>
          <t>exact</t>
        </is>
      </c>
      <c r="I8" s="22" t="inlineStr">
        <is>
          <t>2020-03-15 21:00:00</t>
        </is>
      </c>
      <c r="J8" s="22" t="inlineStr">
        <is>
          <t>Japan: Nikkei 225</t>
        </is>
      </c>
      <c r="K8" s="23" t="n">
        <v>43903</v>
      </c>
      <c r="L8" s="23" t="n">
        <v>43906</v>
      </c>
      <c r="M8" s="22" t="inlineStr">
        <is>
          <t>No</t>
        </is>
      </c>
      <c r="N8" s="22" t="inlineStr">
        <is>
          <t>No</t>
        </is>
      </c>
      <c r="O8" s="24" t="n">
        <v>17431.05078125</v>
      </c>
      <c r="P8" s="24" t="n">
        <v>17002.0390625</v>
      </c>
      <c r="Q8" s="25" t="n">
        <v>-0.02492</v>
      </c>
      <c r="R8" s="25">
        <f>LN(P8/O8)</f>
        <v/>
      </c>
      <c r="S8" s="22">
        <f>IF(ABS(R8-Q8)&lt;0.00001,"Yes","NO")</f>
        <v/>
      </c>
      <c r="T8" s="25" t="n">
        <v>-0.03166</v>
      </c>
      <c r="U8" s="26" t="inlineStr">
        <is>
          <t>Open announcement</t>
        </is>
      </c>
      <c r="V8" s="26" t="inlineStr">
        <is>
          <t>Open price history</t>
        </is>
      </c>
      <c r="W8" s="16" t="inlineStr"/>
      <c r="X8" s="16" t="inlineStr"/>
      <c r="Y8" s="16" t="inlineStr"/>
      <c r="Z8" s="16" t="inlineStr"/>
      <c r="AA8" s="16" t="inlineStr"/>
      <c r="AB8" s="16" t="inlineStr"/>
    </row>
    <row r="9">
      <c r="A9" s="22" t="n">
        <v>8</v>
      </c>
      <c r="B9" s="22" t="inlineStr">
        <is>
          <t>fed_2020-03-15</t>
        </is>
      </c>
      <c r="C9" s="22" t="inlineStr">
        <is>
          <t>Federal Reserve</t>
        </is>
      </c>
      <c r="D9" s="22" t="inlineStr">
        <is>
          <t>cut</t>
        </is>
      </c>
      <c r="E9" s="22" t="n">
        <v>-100</v>
      </c>
      <c r="F9" s="22" t="inlineStr">
        <is>
          <t>Emergency cut announced on a Sunday evening</t>
        </is>
      </c>
      <c r="G9" s="22" t="inlineStr">
        <is>
          <t>17:00 New York</t>
        </is>
      </c>
      <c r="H9" s="22" t="inlineStr">
        <is>
          <t>exact</t>
        </is>
      </c>
      <c r="I9" s="22" t="inlineStr">
        <is>
          <t>2020-03-15 21:00:00</t>
        </is>
      </c>
      <c r="J9" s="22" t="inlineStr">
        <is>
          <t>United States: S&amp;P 500</t>
        </is>
      </c>
      <c r="K9" s="23" t="n">
        <v>43903</v>
      </c>
      <c r="L9" s="23" t="n">
        <v>43906</v>
      </c>
      <c r="M9" s="22" t="inlineStr">
        <is>
          <t>No</t>
        </is>
      </c>
      <c r="N9" s="22" t="inlineStr">
        <is>
          <t>No</t>
        </is>
      </c>
      <c r="O9" s="24" t="n">
        <v>2711.02001953125</v>
      </c>
      <c r="P9" s="24" t="n">
        <v>2386.1298828125</v>
      </c>
      <c r="Q9" s="25" t="n">
        <v>-0.12765</v>
      </c>
      <c r="R9" s="25">
        <f>LN(P9/O9)</f>
        <v/>
      </c>
      <c r="S9" s="22">
        <f>IF(ABS(R9-Q9)&lt;0.00001,"Yes","NO")</f>
        <v/>
      </c>
      <c r="T9" s="25" t="n">
        <v>-0.16228</v>
      </c>
      <c r="U9" s="26" t="inlineStr">
        <is>
          <t>Open announcement</t>
        </is>
      </c>
      <c r="V9" s="26" t="inlineStr">
        <is>
          <t>Open price history</t>
        </is>
      </c>
      <c r="W9" s="16" t="inlineStr"/>
      <c r="X9" s="16" t="inlineStr"/>
      <c r="Y9" s="16" t="inlineStr"/>
      <c r="Z9" s="16" t="inlineStr"/>
      <c r="AA9" s="16" t="inlineStr"/>
      <c r="AB9" s="16" t="inlineStr"/>
    </row>
    <row r="10">
      <c r="A10" s="5" t="n">
        <v>9</v>
      </c>
      <c r="B10" s="5" t="inlineStr">
        <is>
          <t>fed_2008-10-08</t>
        </is>
      </c>
      <c r="C10" s="5" t="inlineStr">
        <is>
          <t>Federal Reserve</t>
        </is>
      </c>
      <c r="D10" s="5" t="inlineStr">
        <is>
          <t>cut</t>
        </is>
      </c>
      <c r="E10" s="5" t="n">
        <v>-50</v>
      </c>
      <c r="F10" s="5" t="inlineStr">
        <is>
          <t>Coordinated emergency cut before the US open; India closed 9 Oct</t>
        </is>
      </c>
      <c r="G10" s="5" t="inlineStr">
        <is>
          <t>07:00 New York</t>
        </is>
      </c>
      <c r="H10" s="5" t="inlineStr">
        <is>
          <t>exact</t>
        </is>
      </c>
      <c r="I10" s="5" t="inlineStr">
        <is>
          <t>2008-10-08 11:00:00</t>
        </is>
      </c>
      <c r="J10" s="5" t="inlineStr">
        <is>
          <t>Germany: DAX</t>
        </is>
      </c>
      <c r="K10" s="6" t="n">
        <v>39728</v>
      </c>
      <c r="L10" s="6" t="n">
        <v>39729</v>
      </c>
      <c r="M10" s="5" t="inlineStr">
        <is>
          <t>Yes</t>
        </is>
      </c>
      <c r="N10" s="5" t="inlineStr">
        <is>
          <t>No</t>
        </is>
      </c>
      <c r="O10" s="7" t="n">
        <v>5326.6298828125</v>
      </c>
      <c r="P10" s="7" t="n">
        <v>5013.6201171875</v>
      </c>
      <c r="Q10" s="8" t="n">
        <v>-0.06056</v>
      </c>
      <c r="R10" s="8">
        <f>LN(P10/O10)</f>
        <v/>
      </c>
      <c r="S10" s="5">
        <f>IF(ABS(R10-Q10)&lt;0.00001,"Yes","NO")</f>
        <v/>
      </c>
      <c r="T10" s="8" t="n">
        <v>-0.02422</v>
      </c>
      <c r="U10" s="9" t="inlineStr">
        <is>
          <t>Open announcement</t>
        </is>
      </c>
      <c r="V10" s="9" t="inlineStr">
        <is>
          <t>Open price history</t>
        </is>
      </c>
      <c r="W10" s="10" t="inlineStr"/>
      <c r="X10" s="10" t="inlineStr"/>
      <c r="Y10" s="10" t="inlineStr"/>
      <c r="Z10" s="10" t="inlineStr"/>
      <c r="AA10" s="10" t="inlineStr"/>
      <c r="AB10" s="10" t="inlineStr"/>
    </row>
    <row r="11">
      <c r="A11" s="11" t="n">
        <v>10</v>
      </c>
      <c r="B11" s="11" t="inlineStr">
        <is>
          <t>fed_2008-10-08</t>
        </is>
      </c>
      <c r="C11" s="11" t="inlineStr">
        <is>
          <t>Federal Reserve</t>
        </is>
      </c>
      <c r="D11" s="11" t="inlineStr">
        <is>
          <t>cut</t>
        </is>
      </c>
      <c r="E11" s="11" t="n">
        <v>-50</v>
      </c>
      <c r="F11" s="11" t="inlineStr">
        <is>
          <t>Coordinated emergency cut before the US open; India closed 9 Oct</t>
        </is>
      </c>
      <c r="G11" s="11" t="inlineStr">
        <is>
          <t>07:00 New York</t>
        </is>
      </c>
      <c r="H11" s="11" t="inlineStr">
        <is>
          <t>exact</t>
        </is>
      </c>
      <c r="I11" s="11" t="inlineStr">
        <is>
          <t>2008-10-08 11:00:00</t>
        </is>
      </c>
      <c r="J11" s="11" t="inlineStr">
        <is>
          <t>India: NIFTY 50</t>
        </is>
      </c>
      <c r="K11" s="12" t="n">
        <v>39729</v>
      </c>
      <c r="L11" s="12" t="n">
        <v>39731</v>
      </c>
      <c r="M11" s="11" t="inlineStr">
        <is>
          <t>No</t>
        </is>
      </c>
      <c r="N11" s="11" t="inlineStr">
        <is>
          <t>No</t>
        </is>
      </c>
      <c r="O11" s="13" t="n">
        <v>3513.65</v>
      </c>
      <c r="P11" s="13" t="n">
        <v>3279.95</v>
      </c>
      <c r="Q11" s="14" t="n">
        <v>-0.06883</v>
      </c>
      <c r="R11" s="14">
        <f>LN(P11/O11)</f>
        <v/>
      </c>
      <c r="S11" s="11">
        <f>IF(ABS(R11-Q11)&lt;0.00001,"Yes","NO")</f>
        <v/>
      </c>
      <c r="T11" s="14" t="n">
        <v>-0.07208000000000001</v>
      </c>
      <c r="U11" s="15" t="inlineStr">
        <is>
          <t>Open announcement</t>
        </is>
      </c>
      <c r="V11" s="15" t="inlineStr">
        <is>
          <t>Open price history</t>
        </is>
      </c>
      <c r="W11" s="16" t="inlineStr"/>
      <c r="X11" s="16" t="inlineStr"/>
      <c r="Y11" s="16" t="inlineStr"/>
      <c r="Z11" s="16" t="inlineStr"/>
      <c r="AA11" s="16" t="inlineStr"/>
      <c r="AB11" s="16" t="inlineStr"/>
    </row>
    <row r="12">
      <c r="A12" s="11" t="n">
        <v>11</v>
      </c>
      <c r="B12" s="11" t="inlineStr">
        <is>
          <t>fed_2008-10-08</t>
        </is>
      </c>
      <c r="C12" s="11" t="inlineStr">
        <is>
          <t>Federal Reserve</t>
        </is>
      </c>
      <c r="D12" s="11" t="inlineStr">
        <is>
          <t>cut</t>
        </is>
      </c>
      <c r="E12" s="11" t="n">
        <v>-50</v>
      </c>
      <c r="F12" s="11" t="inlineStr">
        <is>
          <t>Coordinated emergency cut before the US open; India closed 9 Oct</t>
        </is>
      </c>
      <c r="G12" s="11" t="inlineStr">
        <is>
          <t>07:00 New York</t>
        </is>
      </c>
      <c r="H12" s="11" t="inlineStr">
        <is>
          <t>exact</t>
        </is>
      </c>
      <c r="I12" s="11" t="inlineStr">
        <is>
          <t>2008-10-08 11:00:00</t>
        </is>
      </c>
      <c r="J12" s="11" t="inlineStr">
        <is>
          <t>Japan: Nikkei 225</t>
        </is>
      </c>
      <c r="K12" s="12" t="n">
        <v>39729</v>
      </c>
      <c r="L12" s="12" t="n">
        <v>39730</v>
      </c>
      <c r="M12" s="11" t="inlineStr">
        <is>
          <t>No</t>
        </is>
      </c>
      <c r="N12" s="11" t="inlineStr">
        <is>
          <t>No</t>
        </is>
      </c>
      <c r="O12" s="13" t="n">
        <v>9203.3203125</v>
      </c>
      <c r="P12" s="13" t="n">
        <v>9157.490234375</v>
      </c>
      <c r="Q12" s="14" t="n">
        <v>-0.00499</v>
      </c>
      <c r="R12" s="14">
        <f>LN(P12/O12)</f>
        <v/>
      </c>
      <c r="S12" s="11">
        <f>IF(ABS(R12-Q12)&lt;0.00001,"Yes","NO")</f>
        <v/>
      </c>
      <c r="T12" s="14" t="n">
        <v>-0.0844</v>
      </c>
      <c r="U12" s="15" t="inlineStr">
        <is>
          <t>Open announcement</t>
        </is>
      </c>
      <c r="V12" s="15" t="inlineStr">
        <is>
          <t>Open price history</t>
        </is>
      </c>
      <c r="W12" s="16" t="inlineStr"/>
      <c r="X12" s="16" t="inlineStr"/>
      <c r="Y12" s="16" t="inlineStr"/>
      <c r="Z12" s="16" t="inlineStr"/>
      <c r="AA12" s="16" t="inlineStr"/>
      <c r="AB12" s="16" t="inlineStr"/>
    </row>
    <row r="13">
      <c r="A13" s="11" t="n">
        <v>12</v>
      </c>
      <c r="B13" s="11" t="inlineStr">
        <is>
          <t>fed_2008-10-08</t>
        </is>
      </c>
      <c r="C13" s="11" t="inlineStr">
        <is>
          <t>Federal Reserve</t>
        </is>
      </c>
      <c r="D13" s="11" t="inlineStr">
        <is>
          <t>cut</t>
        </is>
      </c>
      <c r="E13" s="11" t="n">
        <v>-50</v>
      </c>
      <c r="F13" s="11" t="inlineStr">
        <is>
          <t>Coordinated emergency cut before the US open; India closed 9 Oct</t>
        </is>
      </c>
      <c r="G13" s="11" t="inlineStr">
        <is>
          <t>07:00 New York</t>
        </is>
      </c>
      <c r="H13" s="11" t="inlineStr">
        <is>
          <t>exact</t>
        </is>
      </c>
      <c r="I13" s="11" t="inlineStr">
        <is>
          <t>2008-10-08 11:00:00</t>
        </is>
      </c>
      <c r="J13" s="11" t="inlineStr">
        <is>
          <t>United States: S&amp;P 500</t>
        </is>
      </c>
      <c r="K13" s="12" t="n">
        <v>39728</v>
      </c>
      <c r="L13" s="12" t="n">
        <v>39729</v>
      </c>
      <c r="M13" s="11" t="inlineStr">
        <is>
          <t>No</t>
        </is>
      </c>
      <c r="N13" s="11" t="inlineStr">
        <is>
          <t>No</t>
        </is>
      </c>
      <c r="O13" s="13" t="n">
        <v>996.22998046875</v>
      </c>
      <c r="P13" s="13" t="n">
        <v>984.9400024414062</v>
      </c>
      <c r="Q13" s="14" t="n">
        <v>-0.0114</v>
      </c>
      <c r="R13" s="14">
        <f>LN(P13/O13)</f>
        <v/>
      </c>
      <c r="S13" s="11">
        <f>IF(ABS(R13-Q13)&lt;0.00001,"Yes","NO")</f>
        <v/>
      </c>
      <c r="T13" s="14" t="n">
        <v>0.00179</v>
      </c>
      <c r="U13" s="15" t="inlineStr">
        <is>
          <t>Open announcement</t>
        </is>
      </c>
      <c r="V13" s="15" t="inlineStr">
        <is>
          <t>Open price history</t>
        </is>
      </c>
      <c r="W13" s="16" t="inlineStr"/>
      <c r="X13" s="16" t="inlineStr"/>
      <c r="Y13" s="16" t="inlineStr"/>
      <c r="Z13" s="16" t="inlineStr"/>
      <c r="AA13" s="16" t="inlineStr"/>
      <c r="AB13" s="16" t="inlineStr"/>
    </row>
    <row r="14">
      <c r="A14" s="17" t="n">
        <v>13</v>
      </c>
      <c r="B14" s="17" t="inlineStr">
        <is>
          <t>fed_2013-06-19</t>
        </is>
      </c>
      <c r="C14" s="17" t="inlineStr">
        <is>
          <t>Federal Reserve</t>
        </is>
      </c>
      <c r="D14" s="17" t="inlineStr">
        <is>
          <t>hold</t>
        </is>
      </c>
      <c r="E14" s="17" t="n">
        <v>0</v>
      </c>
      <c r="F14" s="17" t="inlineStr">
        <is>
          <t>Taper tantrum; release time unknown, so every market is flagged</t>
        </is>
      </c>
      <c r="G14" s="17" t="inlineStr">
        <is>
          <t>unknown (whole New York day)</t>
        </is>
      </c>
      <c r="H14" s="17" t="inlineStr">
        <is>
          <t>unknown</t>
        </is>
      </c>
      <c r="I14" s="17" t="inlineStr">
        <is>
          <t>2013-06-19 04:00:00</t>
        </is>
      </c>
      <c r="J14" s="17" t="inlineStr">
        <is>
          <t>Germany: DAX</t>
        </is>
      </c>
      <c r="K14" s="18" t="n">
        <v>41443</v>
      </c>
      <c r="L14" s="18" t="n">
        <v>41444</v>
      </c>
      <c r="M14" s="17" t="inlineStr">
        <is>
          <t>No</t>
        </is>
      </c>
      <c r="N14" s="17" t="inlineStr">
        <is>
          <t>Yes</t>
        </is>
      </c>
      <c r="O14" s="19" t="n">
        <v>8229.509765625</v>
      </c>
      <c r="P14" s="19" t="n">
        <v>8197.080078125</v>
      </c>
      <c r="Q14" s="20" t="n">
        <v>-0.00395</v>
      </c>
      <c r="R14" s="20">
        <f>LN(P14/O14)</f>
        <v/>
      </c>
      <c r="S14" s="17">
        <f>IF(ABS(R14-Q14)&lt;0.00001,"Yes","NO")</f>
        <v/>
      </c>
      <c r="T14" s="20" t="n">
        <v>-0.05216</v>
      </c>
      <c r="U14" s="21" t="inlineStr">
        <is>
          <t>Open announcement</t>
        </is>
      </c>
      <c r="V14" s="21" t="inlineStr">
        <is>
          <t>Open price history</t>
        </is>
      </c>
      <c r="W14" s="10" t="inlineStr"/>
      <c r="X14" s="10" t="inlineStr"/>
      <c r="Y14" s="10" t="inlineStr"/>
      <c r="Z14" s="10" t="inlineStr"/>
      <c r="AA14" s="10" t="inlineStr"/>
      <c r="AB14" s="10" t="inlineStr"/>
    </row>
    <row r="15">
      <c r="A15" s="22" t="n">
        <v>14</v>
      </c>
      <c r="B15" s="22" t="inlineStr">
        <is>
          <t>fed_2013-06-19</t>
        </is>
      </c>
      <c r="C15" s="22" t="inlineStr">
        <is>
          <t>Federal Reserve</t>
        </is>
      </c>
      <c r="D15" s="22" t="inlineStr">
        <is>
          <t>hold</t>
        </is>
      </c>
      <c r="E15" s="22" t="n">
        <v>0</v>
      </c>
      <c r="F15" s="22" t="inlineStr">
        <is>
          <t>Taper tantrum; release time unknown, so every market is flagged</t>
        </is>
      </c>
      <c r="G15" s="22" t="inlineStr">
        <is>
          <t>unknown (whole New York day)</t>
        </is>
      </c>
      <c r="H15" s="22" t="inlineStr">
        <is>
          <t>unknown</t>
        </is>
      </c>
      <c r="I15" s="22" t="inlineStr">
        <is>
          <t>2013-06-19 04:00:00</t>
        </is>
      </c>
      <c r="J15" s="22" t="inlineStr">
        <is>
          <t>India: NIFTY 50</t>
        </is>
      </c>
      <c r="K15" s="23" t="n">
        <v>41443</v>
      </c>
      <c r="L15" s="23" t="n">
        <v>41444</v>
      </c>
      <c r="M15" s="22" t="inlineStr">
        <is>
          <t>Yes</t>
        </is>
      </c>
      <c r="N15" s="22" t="inlineStr">
        <is>
          <t>Yes</t>
        </is>
      </c>
      <c r="O15" s="24" t="n">
        <v>5813.6</v>
      </c>
      <c r="P15" s="24" t="n">
        <v>5822.25</v>
      </c>
      <c r="Q15" s="25" t="n">
        <v>0.00149</v>
      </c>
      <c r="R15" s="25">
        <f>LN(P15/O15)</f>
        <v/>
      </c>
      <c r="S15" s="22">
        <f>IF(ABS(R15-Q15)&lt;0.00001,"Yes","NO")</f>
        <v/>
      </c>
      <c r="T15" s="25" t="n">
        <v>-0.03581</v>
      </c>
      <c r="U15" s="26" t="inlineStr">
        <is>
          <t>Open announcement</t>
        </is>
      </c>
      <c r="V15" s="26" t="inlineStr">
        <is>
          <t>Open price history</t>
        </is>
      </c>
      <c r="W15" s="16" t="inlineStr"/>
      <c r="X15" s="16" t="inlineStr"/>
      <c r="Y15" s="16" t="inlineStr"/>
      <c r="Z15" s="16" t="inlineStr"/>
      <c r="AA15" s="16" t="inlineStr"/>
      <c r="AB15" s="16" t="inlineStr"/>
    </row>
    <row r="16">
      <c r="A16" s="22" t="n">
        <v>15</v>
      </c>
      <c r="B16" s="22" t="inlineStr">
        <is>
          <t>fed_2013-06-19</t>
        </is>
      </c>
      <c r="C16" s="22" t="inlineStr">
        <is>
          <t>Federal Reserve</t>
        </is>
      </c>
      <c r="D16" s="22" t="inlineStr">
        <is>
          <t>hold</t>
        </is>
      </c>
      <c r="E16" s="22" t="n">
        <v>0</v>
      </c>
      <c r="F16" s="22" t="inlineStr">
        <is>
          <t>Taper tantrum; release time unknown, so every market is flagged</t>
        </is>
      </c>
      <c r="G16" s="22" t="inlineStr">
        <is>
          <t>unknown (whole New York day)</t>
        </is>
      </c>
      <c r="H16" s="22" t="inlineStr">
        <is>
          <t>unknown</t>
        </is>
      </c>
      <c r="I16" s="22" t="inlineStr">
        <is>
          <t>2013-06-19 04:00:00</t>
        </is>
      </c>
      <c r="J16" s="22" t="inlineStr">
        <is>
          <t>Japan: Nikkei 225</t>
        </is>
      </c>
      <c r="K16" s="23" t="n">
        <v>41443</v>
      </c>
      <c r="L16" s="23" t="n">
        <v>41444</v>
      </c>
      <c r="M16" s="22" t="inlineStr">
        <is>
          <t>Yes</t>
        </is>
      </c>
      <c r="N16" s="22" t="inlineStr">
        <is>
          <t>Yes</t>
        </is>
      </c>
      <c r="O16" s="24" t="n">
        <v>13007.2802734375</v>
      </c>
      <c r="P16" s="24" t="n">
        <v>13245.2197265625</v>
      </c>
      <c r="Q16" s="25" t="n">
        <v>0.01813</v>
      </c>
      <c r="R16" s="25">
        <f>LN(P16/O16)</f>
        <v/>
      </c>
      <c r="S16" s="22">
        <f>IF(ABS(R16-Q16)&lt;0.00001,"Yes","NO")</f>
        <v/>
      </c>
      <c r="T16" s="25" t="n">
        <v>-0.00292</v>
      </c>
      <c r="U16" s="26" t="inlineStr">
        <is>
          <t>Open announcement</t>
        </is>
      </c>
      <c r="V16" s="26" t="inlineStr">
        <is>
          <t>Open price history</t>
        </is>
      </c>
      <c r="W16" s="16" t="inlineStr"/>
      <c r="X16" s="16" t="inlineStr"/>
      <c r="Y16" s="16" t="inlineStr"/>
      <c r="Z16" s="16" t="inlineStr"/>
      <c r="AA16" s="16" t="inlineStr"/>
      <c r="AB16" s="16" t="inlineStr"/>
    </row>
    <row r="17">
      <c r="A17" s="22" t="n">
        <v>16</v>
      </c>
      <c r="B17" s="22" t="inlineStr">
        <is>
          <t>fed_2013-06-19</t>
        </is>
      </c>
      <c r="C17" s="22" t="inlineStr">
        <is>
          <t>Federal Reserve</t>
        </is>
      </c>
      <c r="D17" s="22" t="inlineStr">
        <is>
          <t>hold</t>
        </is>
      </c>
      <c r="E17" s="22" t="n">
        <v>0</v>
      </c>
      <c r="F17" s="22" t="inlineStr">
        <is>
          <t>Taper tantrum; release time unknown, so every market is flagged</t>
        </is>
      </c>
      <c r="G17" s="22" t="inlineStr">
        <is>
          <t>unknown (whole New York day)</t>
        </is>
      </c>
      <c r="H17" s="22" t="inlineStr">
        <is>
          <t>unknown</t>
        </is>
      </c>
      <c r="I17" s="22" t="inlineStr">
        <is>
          <t>2013-06-19 04:00:00</t>
        </is>
      </c>
      <c r="J17" s="22" t="inlineStr">
        <is>
          <t>United States: S&amp;P 500</t>
        </is>
      </c>
      <c r="K17" s="23" t="n">
        <v>41443</v>
      </c>
      <c r="L17" s="23" t="n">
        <v>41444</v>
      </c>
      <c r="M17" s="22" t="inlineStr">
        <is>
          <t>No</t>
        </is>
      </c>
      <c r="N17" s="22" t="inlineStr">
        <is>
          <t>Yes</t>
        </is>
      </c>
      <c r="O17" s="24" t="n">
        <v>1651.81005859375</v>
      </c>
      <c r="P17" s="24" t="n">
        <v>1628.930053710938</v>
      </c>
      <c r="Q17" s="25" t="n">
        <v>-0.01395</v>
      </c>
      <c r="R17" s="25">
        <f>LN(P17/O17)</f>
        <v/>
      </c>
      <c r="S17" s="22">
        <f>IF(ABS(R17-Q17)&lt;0.00001,"Yes","NO")</f>
        <v/>
      </c>
      <c r="T17" s="25" t="n">
        <v>-0.03938</v>
      </c>
      <c r="U17" s="26" t="inlineStr">
        <is>
          <t>Open announcement</t>
        </is>
      </c>
      <c r="V17" s="26" t="inlineStr">
        <is>
          <t>Open price history</t>
        </is>
      </c>
      <c r="W17" s="16" t="inlineStr"/>
      <c r="X17" s="16" t="inlineStr"/>
      <c r="Y17" s="16" t="inlineStr"/>
      <c r="Z17" s="16" t="inlineStr"/>
      <c r="AA17" s="16" t="inlineStr"/>
      <c r="AB17" s="16" t="inlineStr"/>
    </row>
    <row r="18">
      <c r="A18" s="5" t="n">
        <v>17</v>
      </c>
      <c r="B18" s="5" t="inlineStr">
        <is>
          <t>ecb_2022-07-21</t>
        </is>
      </c>
      <c r="C18" s="5" t="inlineStr">
        <is>
          <t>European Central Bank</t>
        </is>
      </c>
      <c r="D18" s="5" t="inlineStr">
        <is>
          <t>hike</t>
        </is>
      </c>
      <c r="E18" s="5" t="n">
        <v>50</v>
      </c>
      <c r="F18" s="5" t="inlineStr">
        <is>
          <t>First ECB hike in 11 years; release at the new 14:15 time</t>
        </is>
      </c>
      <c r="G18" s="5" t="inlineStr">
        <is>
          <t>14:15 Frankfurt</t>
        </is>
      </c>
      <c r="H18" s="5" t="inlineStr">
        <is>
          <t>exact</t>
        </is>
      </c>
      <c r="I18" s="5" t="inlineStr">
        <is>
          <t>2022-07-21 12:15:00</t>
        </is>
      </c>
      <c r="J18" s="5" t="inlineStr">
        <is>
          <t>Germany: DAX</t>
        </is>
      </c>
      <c r="K18" s="6" t="n">
        <v>44762</v>
      </c>
      <c r="L18" s="6" t="n">
        <v>44763</v>
      </c>
      <c r="M18" s="5" t="inlineStr">
        <is>
          <t>Yes</t>
        </is>
      </c>
      <c r="N18" s="5" t="inlineStr">
        <is>
          <t>No</t>
        </is>
      </c>
      <c r="O18" s="7" t="n">
        <v>13281.98046875</v>
      </c>
      <c r="P18" s="7" t="n">
        <v>13246.6396484375</v>
      </c>
      <c r="Q18" s="8" t="n">
        <v>-0.00266</v>
      </c>
      <c r="R18" s="8">
        <f>LN(P18/O18)</f>
        <v/>
      </c>
      <c r="S18" s="5">
        <f>IF(ABS(R18-Q18)&lt;0.00001,"Yes","NO")</f>
        <v/>
      </c>
      <c r="T18" s="8" t="n">
        <v>-0.00874</v>
      </c>
      <c r="U18" s="9" t="inlineStr">
        <is>
          <t>Open announcement</t>
        </is>
      </c>
      <c r="V18" s="9" t="inlineStr">
        <is>
          <t>Open price history</t>
        </is>
      </c>
      <c r="W18" s="10" t="inlineStr"/>
      <c r="X18" s="10" t="inlineStr"/>
      <c r="Y18" s="10" t="inlineStr"/>
      <c r="Z18" s="10" t="inlineStr"/>
      <c r="AA18" s="10" t="inlineStr"/>
      <c r="AB18" s="10" t="inlineStr"/>
    </row>
    <row r="19">
      <c r="A19" s="11" t="n">
        <v>18</v>
      </c>
      <c r="B19" s="11" t="inlineStr">
        <is>
          <t>ecb_2022-07-21</t>
        </is>
      </c>
      <c r="C19" s="11" t="inlineStr">
        <is>
          <t>European Central Bank</t>
        </is>
      </c>
      <c r="D19" s="11" t="inlineStr">
        <is>
          <t>hike</t>
        </is>
      </c>
      <c r="E19" s="11" t="n">
        <v>50</v>
      </c>
      <c r="F19" s="11" t="inlineStr">
        <is>
          <t>First ECB hike in 11 years; release at the new 14:15 time</t>
        </is>
      </c>
      <c r="G19" s="11" t="inlineStr">
        <is>
          <t>14:15 Frankfurt</t>
        </is>
      </c>
      <c r="H19" s="11" t="inlineStr">
        <is>
          <t>exact</t>
        </is>
      </c>
      <c r="I19" s="11" t="inlineStr">
        <is>
          <t>2022-07-21 12:15:00</t>
        </is>
      </c>
      <c r="J19" s="11" t="inlineStr">
        <is>
          <t>India: NIFTY 50</t>
        </is>
      </c>
      <c r="K19" s="12" t="n">
        <v>44763</v>
      </c>
      <c r="L19" s="12" t="n">
        <v>44764</v>
      </c>
      <c r="M19" s="11" t="inlineStr">
        <is>
          <t>No</t>
        </is>
      </c>
      <c r="N19" s="11" t="inlineStr">
        <is>
          <t>No</t>
        </is>
      </c>
      <c r="O19" s="13" t="n">
        <v>16605.25</v>
      </c>
      <c r="P19" s="13" t="n">
        <v>16719.45</v>
      </c>
      <c r="Q19" s="14" t="n">
        <v>0.00685</v>
      </c>
      <c r="R19" s="14">
        <f>LN(P19/O19)</f>
        <v/>
      </c>
      <c r="S19" s="11">
        <f>IF(ABS(R19-Q19)&lt;0.00001,"Yes","NO")</f>
        <v/>
      </c>
      <c r="T19" s="14" t="n">
        <v>0.01934</v>
      </c>
      <c r="U19" s="15" t="inlineStr">
        <is>
          <t>Open announcement</t>
        </is>
      </c>
      <c r="V19" s="15" t="inlineStr">
        <is>
          <t>Open price history</t>
        </is>
      </c>
      <c r="W19" s="16" t="inlineStr"/>
      <c r="X19" s="16" t="inlineStr"/>
      <c r="Y19" s="16" t="inlineStr"/>
      <c r="Z19" s="16" t="inlineStr"/>
      <c r="AA19" s="16" t="inlineStr"/>
      <c r="AB19" s="16" t="inlineStr"/>
    </row>
    <row r="20">
      <c r="A20" s="11" t="n">
        <v>19</v>
      </c>
      <c r="B20" s="11" t="inlineStr">
        <is>
          <t>ecb_2022-07-21</t>
        </is>
      </c>
      <c r="C20" s="11" t="inlineStr">
        <is>
          <t>European Central Bank</t>
        </is>
      </c>
      <c r="D20" s="11" t="inlineStr">
        <is>
          <t>hike</t>
        </is>
      </c>
      <c r="E20" s="11" t="n">
        <v>50</v>
      </c>
      <c r="F20" s="11" t="inlineStr">
        <is>
          <t>First ECB hike in 11 years; release at the new 14:15 time</t>
        </is>
      </c>
      <c r="G20" s="11" t="inlineStr">
        <is>
          <t>14:15 Frankfurt</t>
        </is>
      </c>
      <c r="H20" s="11" t="inlineStr">
        <is>
          <t>exact</t>
        </is>
      </c>
      <c r="I20" s="11" t="inlineStr">
        <is>
          <t>2022-07-21 12:15:00</t>
        </is>
      </c>
      <c r="J20" s="11" t="inlineStr">
        <is>
          <t>Japan: Nikkei 225</t>
        </is>
      </c>
      <c r="K20" s="12" t="n">
        <v>44763</v>
      </c>
      <c r="L20" s="12" t="n">
        <v>44764</v>
      </c>
      <c r="M20" s="11" t="inlineStr">
        <is>
          <t>No</t>
        </is>
      </c>
      <c r="N20" s="11" t="inlineStr">
        <is>
          <t>No</t>
        </is>
      </c>
      <c r="O20" s="13" t="n">
        <v>27803</v>
      </c>
      <c r="P20" s="13" t="n">
        <v>27914.66015625</v>
      </c>
      <c r="Q20" s="14" t="n">
        <v>0.00401</v>
      </c>
      <c r="R20" s="14">
        <f>LN(P20/O20)</f>
        <v/>
      </c>
      <c r="S20" s="11">
        <f>IF(ABS(R20-Q20)&lt;0.00001,"Yes","NO")</f>
        <v/>
      </c>
      <c r="T20" s="14" t="n">
        <v>0.00045</v>
      </c>
      <c r="U20" s="15" t="inlineStr">
        <is>
          <t>Open announcement</t>
        </is>
      </c>
      <c r="V20" s="15" t="inlineStr">
        <is>
          <t>Open price history</t>
        </is>
      </c>
      <c r="W20" s="16" t="inlineStr"/>
      <c r="X20" s="16" t="inlineStr"/>
      <c r="Y20" s="16" t="inlineStr"/>
      <c r="Z20" s="16" t="inlineStr"/>
      <c r="AA20" s="16" t="inlineStr"/>
      <c r="AB20" s="16" t="inlineStr"/>
    </row>
    <row r="21">
      <c r="A21" s="11" t="n">
        <v>20</v>
      </c>
      <c r="B21" s="11" t="inlineStr">
        <is>
          <t>ecb_2022-07-21</t>
        </is>
      </c>
      <c r="C21" s="11" t="inlineStr">
        <is>
          <t>European Central Bank</t>
        </is>
      </c>
      <c r="D21" s="11" t="inlineStr">
        <is>
          <t>hike</t>
        </is>
      </c>
      <c r="E21" s="11" t="n">
        <v>50</v>
      </c>
      <c r="F21" s="11" t="inlineStr">
        <is>
          <t>First ECB hike in 11 years; release at the new 14:15 time</t>
        </is>
      </c>
      <c r="G21" s="11" t="inlineStr">
        <is>
          <t>14:15 Frankfurt</t>
        </is>
      </c>
      <c r="H21" s="11" t="inlineStr">
        <is>
          <t>exact</t>
        </is>
      </c>
      <c r="I21" s="11" t="inlineStr">
        <is>
          <t>2022-07-21 12:15:00</t>
        </is>
      </c>
      <c r="J21" s="11" t="inlineStr">
        <is>
          <t>United States: S&amp;P 500</t>
        </is>
      </c>
      <c r="K21" s="12" t="n">
        <v>44762</v>
      </c>
      <c r="L21" s="12" t="n">
        <v>44763</v>
      </c>
      <c r="M21" s="11" t="inlineStr">
        <is>
          <t>No</t>
        </is>
      </c>
      <c r="N21" s="11" t="inlineStr">
        <is>
          <t>No</t>
        </is>
      </c>
      <c r="O21" s="13" t="n">
        <v>3959.89990234375</v>
      </c>
      <c r="P21" s="13" t="n">
        <v>3998.949951171875</v>
      </c>
      <c r="Q21" s="14" t="n">
        <v>0.009809999999999999</v>
      </c>
      <c r="R21" s="14">
        <f>LN(P21/O21)</f>
        <v/>
      </c>
      <c r="S21" s="11">
        <f>IF(ABS(R21-Q21)&lt;0.00001,"Yes","NO")</f>
        <v/>
      </c>
      <c r="T21" s="14" t="n">
        <v>0.01596</v>
      </c>
      <c r="U21" s="15" t="inlineStr">
        <is>
          <t>Open announcement</t>
        </is>
      </c>
      <c r="V21" s="15" t="inlineStr">
        <is>
          <t>Open price history</t>
        </is>
      </c>
      <c r="W21" s="16" t="inlineStr"/>
      <c r="X21" s="16" t="inlineStr"/>
      <c r="Y21" s="16" t="inlineStr"/>
      <c r="Z21" s="16" t="inlineStr"/>
      <c r="AA21" s="16" t="inlineStr"/>
      <c r="AB21" s="16" t="inlineStr"/>
    </row>
    <row r="22">
      <c r="A22" s="17" t="n">
        <v>21</v>
      </c>
      <c r="B22" s="17" t="inlineStr">
        <is>
          <t>ecb_2011-04-07</t>
        </is>
      </c>
      <c r="C22" s="17" t="inlineStr">
        <is>
          <t>European Central Bank</t>
        </is>
      </c>
      <c r="D22" s="17" t="inlineStr">
        <is>
          <t>hike</t>
        </is>
      </c>
      <c r="E22" s="17" t="n">
        <v>25</v>
      </c>
      <c r="F22" s="17" t="inlineStr">
        <is>
          <t>ECB hike under the old 13:45 release time</t>
        </is>
      </c>
      <c r="G22" s="17" t="inlineStr">
        <is>
          <t>13:45 Frankfurt</t>
        </is>
      </c>
      <c r="H22" s="17" t="inlineStr">
        <is>
          <t>exact</t>
        </is>
      </c>
      <c r="I22" s="17" t="inlineStr">
        <is>
          <t>2011-04-07 11:45:00</t>
        </is>
      </c>
      <c r="J22" s="17" t="inlineStr">
        <is>
          <t>Germany: DAX</t>
        </is>
      </c>
      <c r="K22" s="18" t="n">
        <v>40639</v>
      </c>
      <c r="L22" s="18" t="n">
        <v>40640</v>
      </c>
      <c r="M22" s="17" t="inlineStr">
        <is>
          <t>Yes</t>
        </is>
      </c>
      <c r="N22" s="17" t="inlineStr">
        <is>
          <t>No</t>
        </is>
      </c>
      <c r="O22" s="19" t="n">
        <v>7215.10986328125</v>
      </c>
      <c r="P22" s="19" t="n">
        <v>7178.77978515625</v>
      </c>
      <c r="Q22" s="20" t="n">
        <v>-0.00505</v>
      </c>
      <c r="R22" s="20">
        <f>LN(P22/O22)</f>
        <v/>
      </c>
      <c r="S22" s="17">
        <f>IF(ABS(R22-Q22)&lt;0.00001,"Yes","NO")</f>
        <v/>
      </c>
      <c r="T22" s="20" t="n">
        <v>-0.00516</v>
      </c>
      <c r="U22" s="21" t="inlineStr">
        <is>
          <t>Open announcement</t>
        </is>
      </c>
      <c r="V22" s="21" t="inlineStr">
        <is>
          <t>Open price history</t>
        </is>
      </c>
      <c r="W22" s="10" t="inlineStr"/>
      <c r="X22" s="10" t="inlineStr"/>
      <c r="Y22" s="10" t="inlineStr"/>
      <c r="Z22" s="10" t="inlineStr"/>
      <c r="AA22" s="10" t="inlineStr"/>
      <c r="AB22" s="10" t="inlineStr"/>
    </row>
    <row r="23">
      <c r="A23" s="22" t="n">
        <v>22</v>
      </c>
      <c r="B23" s="22" t="inlineStr">
        <is>
          <t>ecb_2011-04-07</t>
        </is>
      </c>
      <c r="C23" s="22" t="inlineStr">
        <is>
          <t>European Central Bank</t>
        </is>
      </c>
      <c r="D23" s="22" t="inlineStr">
        <is>
          <t>hike</t>
        </is>
      </c>
      <c r="E23" s="22" t="n">
        <v>25</v>
      </c>
      <c r="F23" s="22" t="inlineStr">
        <is>
          <t>ECB hike under the old 13:45 release time</t>
        </is>
      </c>
      <c r="G23" s="22" t="inlineStr">
        <is>
          <t>13:45 Frankfurt</t>
        </is>
      </c>
      <c r="H23" s="22" t="inlineStr">
        <is>
          <t>exact</t>
        </is>
      </c>
      <c r="I23" s="22" t="inlineStr">
        <is>
          <t>2011-04-07 11:45:00</t>
        </is>
      </c>
      <c r="J23" s="22" t="inlineStr">
        <is>
          <t>India: NIFTY 50</t>
        </is>
      </c>
      <c r="K23" s="23" t="n">
        <v>40640</v>
      </c>
      <c r="L23" s="23" t="n">
        <v>40641</v>
      </c>
      <c r="M23" s="22" t="inlineStr">
        <is>
          <t>No</t>
        </is>
      </c>
      <c r="N23" s="22" t="inlineStr">
        <is>
          <t>No</t>
        </is>
      </c>
      <c r="O23" s="24" t="n">
        <v>5885.7</v>
      </c>
      <c r="P23" s="24" t="n">
        <v>5842</v>
      </c>
      <c r="Q23" s="25" t="n">
        <v>-0.00745</v>
      </c>
      <c r="R23" s="25">
        <f>LN(P23/O23)</f>
        <v/>
      </c>
      <c r="S23" s="22">
        <f>IF(ABS(R23-Q23)&lt;0.00001,"Yes","NO")</f>
        <v/>
      </c>
      <c r="T23" s="25" t="n">
        <v>-0.02697</v>
      </c>
      <c r="U23" s="26" t="inlineStr">
        <is>
          <t>Open announcement</t>
        </is>
      </c>
      <c r="V23" s="26" t="inlineStr">
        <is>
          <t>Open price history</t>
        </is>
      </c>
      <c r="W23" s="16" t="inlineStr"/>
      <c r="X23" s="16" t="inlineStr"/>
      <c r="Y23" s="16" t="inlineStr"/>
      <c r="Z23" s="16" t="inlineStr"/>
      <c r="AA23" s="16" t="inlineStr"/>
      <c r="AB23" s="16" t="inlineStr"/>
    </row>
    <row r="24">
      <c r="A24" s="22" t="n">
        <v>23</v>
      </c>
      <c r="B24" s="22" t="inlineStr">
        <is>
          <t>ecb_2011-04-07</t>
        </is>
      </c>
      <c r="C24" s="22" t="inlineStr">
        <is>
          <t>European Central Bank</t>
        </is>
      </c>
      <c r="D24" s="22" t="inlineStr">
        <is>
          <t>hike</t>
        </is>
      </c>
      <c r="E24" s="22" t="n">
        <v>25</v>
      </c>
      <c r="F24" s="22" t="inlineStr">
        <is>
          <t>ECB hike under the old 13:45 release time</t>
        </is>
      </c>
      <c r="G24" s="22" t="inlineStr">
        <is>
          <t>13:45 Frankfurt</t>
        </is>
      </c>
      <c r="H24" s="22" t="inlineStr">
        <is>
          <t>exact</t>
        </is>
      </c>
      <c r="I24" s="22" t="inlineStr">
        <is>
          <t>2011-04-07 11:45:00</t>
        </is>
      </c>
      <c r="J24" s="22" t="inlineStr">
        <is>
          <t>Japan: Nikkei 225</t>
        </is>
      </c>
      <c r="K24" s="23" t="n">
        <v>40640</v>
      </c>
      <c r="L24" s="23" t="n">
        <v>40641</v>
      </c>
      <c r="M24" s="22" t="inlineStr">
        <is>
          <t>No</t>
        </is>
      </c>
      <c r="N24" s="22" t="inlineStr">
        <is>
          <t>No</t>
        </is>
      </c>
      <c r="O24" s="24" t="n">
        <v>9590.9296875</v>
      </c>
      <c r="P24" s="24" t="n">
        <v>9768.080078125</v>
      </c>
      <c r="Q24" s="25" t="n">
        <v>0.0183</v>
      </c>
      <c r="R24" s="25">
        <f>LN(P24/O24)</f>
        <v/>
      </c>
      <c r="S24" s="22">
        <f>IF(ABS(R24-Q24)&lt;0.00001,"Yes","NO")</f>
        <v/>
      </c>
      <c r="T24" s="25" t="n">
        <v>0.00655</v>
      </c>
      <c r="U24" s="26" t="inlineStr">
        <is>
          <t>Open announcement</t>
        </is>
      </c>
      <c r="V24" s="26" t="inlineStr">
        <is>
          <t>Open price history</t>
        </is>
      </c>
      <c r="W24" s="16" t="inlineStr"/>
      <c r="X24" s="16" t="inlineStr"/>
      <c r="Y24" s="16" t="inlineStr"/>
      <c r="Z24" s="16" t="inlineStr"/>
      <c r="AA24" s="16" t="inlineStr"/>
      <c r="AB24" s="16" t="inlineStr"/>
    </row>
    <row r="25">
      <c r="A25" s="22" t="n">
        <v>24</v>
      </c>
      <c r="B25" s="22" t="inlineStr">
        <is>
          <t>ecb_2011-04-07</t>
        </is>
      </c>
      <c r="C25" s="22" t="inlineStr">
        <is>
          <t>European Central Bank</t>
        </is>
      </c>
      <c r="D25" s="22" t="inlineStr">
        <is>
          <t>hike</t>
        </is>
      </c>
      <c r="E25" s="22" t="n">
        <v>25</v>
      </c>
      <c r="F25" s="22" t="inlineStr">
        <is>
          <t>ECB hike under the old 13:45 release time</t>
        </is>
      </c>
      <c r="G25" s="22" t="inlineStr">
        <is>
          <t>13:45 Frankfurt</t>
        </is>
      </c>
      <c r="H25" s="22" t="inlineStr">
        <is>
          <t>exact</t>
        </is>
      </c>
      <c r="I25" s="22" t="inlineStr">
        <is>
          <t>2011-04-07 11:45:00</t>
        </is>
      </c>
      <c r="J25" s="22" t="inlineStr">
        <is>
          <t>United States: S&amp;P 500</t>
        </is>
      </c>
      <c r="K25" s="23" t="n">
        <v>40639</v>
      </c>
      <c r="L25" s="23" t="n">
        <v>40640</v>
      </c>
      <c r="M25" s="22" t="inlineStr">
        <is>
          <t>No</t>
        </is>
      </c>
      <c r="N25" s="22" t="inlineStr">
        <is>
          <t>No</t>
        </is>
      </c>
      <c r="O25" s="24" t="n">
        <v>1335.5400390625</v>
      </c>
      <c r="P25" s="24" t="n">
        <v>1333.510009765625</v>
      </c>
      <c r="Q25" s="25" t="n">
        <v>-0.00152</v>
      </c>
      <c r="R25" s="25">
        <f>LN(P25/O25)</f>
        <v/>
      </c>
      <c r="S25" s="22">
        <f>IF(ABS(R25-Q25)&lt;0.00001,"Yes","NO")</f>
        <v/>
      </c>
      <c r="T25" s="25" t="n">
        <v>-0.01595</v>
      </c>
      <c r="U25" s="26" t="inlineStr">
        <is>
          <t>Open announcement</t>
        </is>
      </c>
      <c r="V25" s="26" t="inlineStr">
        <is>
          <t>Open price history</t>
        </is>
      </c>
      <c r="W25" s="16" t="inlineStr"/>
      <c r="X25" s="16" t="inlineStr"/>
      <c r="Y25" s="16" t="inlineStr"/>
      <c r="Z25" s="16" t="inlineStr"/>
      <c r="AA25" s="16" t="inlineStr"/>
      <c r="AB25" s="16" t="inlineStr"/>
    </row>
    <row r="26">
      <c r="A26" s="5" t="n">
        <v>25</v>
      </c>
      <c r="B26" s="5" t="inlineStr">
        <is>
          <t>rbi_2022-05-04</t>
        </is>
      </c>
      <c r="C26" s="5" t="inlineStr">
        <is>
          <t>Reserve Bank of India</t>
        </is>
      </c>
      <c r="D26" s="5" t="inlineStr">
        <is>
          <t>hike</t>
        </is>
      </c>
      <c r="E26" s="5" t="n">
        <v>40</v>
      </c>
      <c r="F26" s="5" t="inlineStr">
        <is>
          <t>Off-cycle RBI hike; time unknown; Japan closed for Golden Week</t>
        </is>
      </c>
      <c r="G26" s="5" t="inlineStr">
        <is>
          <t>unknown (whole India day)</t>
        </is>
      </c>
      <c r="H26" s="5" t="inlineStr">
        <is>
          <t>unknown</t>
        </is>
      </c>
      <c r="I26" s="5" t="inlineStr">
        <is>
          <t>2022-05-03 18:30:00</t>
        </is>
      </c>
      <c r="J26" s="5" t="inlineStr">
        <is>
          <t>Germany: DAX</t>
        </is>
      </c>
      <c r="K26" s="6" t="n">
        <v>44684</v>
      </c>
      <c r="L26" s="6" t="n">
        <v>44685</v>
      </c>
      <c r="M26" s="5" t="inlineStr">
        <is>
          <t>No</t>
        </is>
      </c>
      <c r="N26" s="5" t="inlineStr">
        <is>
          <t>Yes</t>
        </is>
      </c>
      <c r="O26" s="7" t="n">
        <v>14039.4697265625</v>
      </c>
      <c r="P26" s="7" t="n">
        <v>13970.8203125</v>
      </c>
      <c r="Q26" s="8" t="n">
        <v>-0.0049</v>
      </c>
      <c r="R26" s="8">
        <f>LN(P26/O26)</f>
        <v/>
      </c>
      <c r="S26" s="5">
        <f>IF(ABS(R26-Q26)&lt;0.00001,"Yes","NO")</f>
        <v/>
      </c>
      <c r="T26" s="8" t="n">
        <v>-0.03661</v>
      </c>
      <c r="U26" s="9" t="inlineStr">
        <is>
          <t>Open announcement</t>
        </is>
      </c>
      <c r="V26" s="9" t="inlineStr">
        <is>
          <t>Open price history</t>
        </is>
      </c>
      <c r="W26" s="10" t="inlineStr"/>
      <c r="X26" s="10" t="inlineStr"/>
      <c r="Y26" s="10" t="inlineStr"/>
      <c r="Z26" s="10" t="inlineStr"/>
      <c r="AA26" s="10" t="inlineStr"/>
      <c r="AB26" s="10" t="inlineStr"/>
    </row>
    <row r="27">
      <c r="A27" s="11" t="n">
        <v>26</v>
      </c>
      <c r="B27" s="11" t="inlineStr">
        <is>
          <t>rbi_2022-05-04</t>
        </is>
      </c>
      <c r="C27" s="11" t="inlineStr">
        <is>
          <t>Reserve Bank of India</t>
        </is>
      </c>
      <c r="D27" s="11" t="inlineStr">
        <is>
          <t>hike</t>
        </is>
      </c>
      <c r="E27" s="11" t="n">
        <v>40</v>
      </c>
      <c r="F27" s="11" t="inlineStr">
        <is>
          <t>Off-cycle RBI hike; time unknown; Japan closed for Golden Week</t>
        </is>
      </c>
      <c r="G27" s="11" t="inlineStr">
        <is>
          <t>unknown (whole India day)</t>
        </is>
      </c>
      <c r="H27" s="11" t="inlineStr">
        <is>
          <t>unknown</t>
        </is>
      </c>
      <c r="I27" s="11" t="inlineStr">
        <is>
          <t>2022-05-03 18:30:00</t>
        </is>
      </c>
      <c r="J27" s="11" t="inlineStr">
        <is>
          <t>India: NIFTY 50</t>
        </is>
      </c>
      <c r="K27" s="12" t="n">
        <v>44683</v>
      </c>
      <c r="L27" s="12" t="n">
        <v>44685</v>
      </c>
      <c r="M27" s="11" t="inlineStr">
        <is>
          <t>No</t>
        </is>
      </c>
      <c r="N27" s="11" t="inlineStr">
        <is>
          <t>Yes</t>
        </is>
      </c>
      <c r="O27" s="13" t="n">
        <v>17069.1</v>
      </c>
      <c r="P27" s="13" t="n">
        <v>16677.6</v>
      </c>
      <c r="Q27" s="14" t="n">
        <v>-0.0232</v>
      </c>
      <c r="R27" s="14">
        <f>LN(P27/O27)</f>
        <v/>
      </c>
      <c r="S27" s="11">
        <f>IF(ABS(R27-Q27)&lt;0.00001,"Yes","NO")</f>
        <v/>
      </c>
      <c r="T27" s="14" t="n">
        <v>-0.04979</v>
      </c>
      <c r="U27" s="15" t="inlineStr">
        <is>
          <t>Open announcement</t>
        </is>
      </c>
      <c r="V27" s="15" t="inlineStr">
        <is>
          <t>Open price history</t>
        </is>
      </c>
      <c r="W27" s="16" t="inlineStr"/>
      <c r="X27" s="16" t="inlineStr"/>
      <c r="Y27" s="16" t="inlineStr"/>
      <c r="Z27" s="16" t="inlineStr"/>
      <c r="AA27" s="16" t="inlineStr"/>
      <c r="AB27" s="16" t="inlineStr"/>
    </row>
    <row r="28">
      <c r="A28" s="11" t="n">
        <v>27</v>
      </c>
      <c r="B28" s="11" t="inlineStr">
        <is>
          <t>rbi_2022-05-04</t>
        </is>
      </c>
      <c r="C28" s="11" t="inlineStr">
        <is>
          <t>Reserve Bank of India</t>
        </is>
      </c>
      <c r="D28" s="11" t="inlineStr">
        <is>
          <t>hike</t>
        </is>
      </c>
      <c r="E28" s="11" t="n">
        <v>40</v>
      </c>
      <c r="F28" s="11" t="inlineStr">
        <is>
          <t>Off-cycle RBI hike; time unknown; Japan closed for Golden Week</t>
        </is>
      </c>
      <c r="G28" s="11" t="inlineStr">
        <is>
          <t>unknown (whole India day)</t>
        </is>
      </c>
      <c r="H28" s="11" t="inlineStr">
        <is>
          <t>unknown</t>
        </is>
      </c>
      <c r="I28" s="11" t="inlineStr">
        <is>
          <t>2022-05-03 18:30:00</t>
        </is>
      </c>
      <c r="J28" s="11" t="inlineStr">
        <is>
          <t>Japan: Nikkei 225</t>
        </is>
      </c>
      <c r="K28" s="12" t="n">
        <v>44683</v>
      </c>
      <c r="L28" s="12" t="n">
        <v>44687</v>
      </c>
      <c r="M28" s="11" t="inlineStr">
        <is>
          <t>No</t>
        </is>
      </c>
      <c r="N28" s="11" t="inlineStr">
        <is>
          <t>No</t>
        </is>
      </c>
      <c r="O28" s="13" t="n">
        <v>26818.529296875</v>
      </c>
      <c r="P28" s="13" t="n">
        <v>27003.560546875</v>
      </c>
      <c r="Q28" s="14" t="n">
        <v>0.00688</v>
      </c>
      <c r="R28" s="14">
        <f>LN(P28/O28)</f>
        <v/>
      </c>
      <c r="S28" s="11">
        <f>IF(ABS(R28-Q28)&lt;0.00001,"Yes","NO")</f>
        <v/>
      </c>
      <c r="T28" s="14" t="n">
        <v>-0.04071</v>
      </c>
      <c r="U28" s="15" t="inlineStr">
        <is>
          <t>Open announcement</t>
        </is>
      </c>
      <c r="V28" s="15" t="inlineStr">
        <is>
          <t>Open price history</t>
        </is>
      </c>
      <c r="W28" s="16" t="inlineStr"/>
      <c r="X28" s="16" t="inlineStr"/>
      <c r="Y28" s="16" t="inlineStr"/>
      <c r="Z28" s="16" t="inlineStr"/>
      <c r="AA28" s="16" t="inlineStr"/>
      <c r="AB28" s="16" t="inlineStr"/>
    </row>
    <row r="29">
      <c r="A29" s="11" t="n">
        <v>28</v>
      </c>
      <c r="B29" s="11" t="inlineStr">
        <is>
          <t>rbi_2022-05-04</t>
        </is>
      </c>
      <c r="C29" s="11" t="inlineStr">
        <is>
          <t>Reserve Bank of India</t>
        </is>
      </c>
      <c r="D29" s="11" t="inlineStr">
        <is>
          <t>hike</t>
        </is>
      </c>
      <c r="E29" s="11" t="n">
        <v>40</v>
      </c>
      <c r="F29" s="11" t="inlineStr">
        <is>
          <t>Off-cycle RBI hike; time unknown; Japan closed for Golden Week</t>
        </is>
      </c>
      <c r="G29" s="11" t="inlineStr">
        <is>
          <t>unknown (whole India day)</t>
        </is>
      </c>
      <c r="H29" s="11" t="inlineStr">
        <is>
          <t>unknown</t>
        </is>
      </c>
      <c r="I29" s="11" t="inlineStr">
        <is>
          <t>2022-05-03 18:30:00</t>
        </is>
      </c>
      <c r="J29" s="11" t="inlineStr">
        <is>
          <t>United States: S&amp;P 500</t>
        </is>
      </c>
      <c r="K29" s="12" t="n">
        <v>44683</v>
      </c>
      <c r="L29" s="12" t="n">
        <v>44684</v>
      </c>
      <c r="M29" s="11" t="inlineStr">
        <is>
          <t>Yes</t>
        </is>
      </c>
      <c r="N29" s="11" t="inlineStr">
        <is>
          <t>Yes</t>
        </is>
      </c>
      <c r="O29" s="13" t="n">
        <v>4155.3798828125</v>
      </c>
      <c r="P29" s="13" t="n">
        <v>4175.47998046875</v>
      </c>
      <c r="Q29" s="14" t="n">
        <v>0.00483</v>
      </c>
      <c r="R29" s="14">
        <f>LN(P29/O29)</f>
        <v/>
      </c>
      <c r="S29" s="11">
        <f>IF(ABS(R29-Q29)&lt;0.00001,"Yes","NO")</f>
        <v/>
      </c>
      <c r="T29" s="14" t="n">
        <v>-0.0403</v>
      </c>
      <c r="U29" s="15" t="inlineStr">
        <is>
          <t>Open announcement</t>
        </is>
      </c>
      <c r="V29" s="15" t="inlineStr">
        <is>
          <t>Open price history</t>
        </is>
      </c>
      <c r="W29" s="16" t="inlineStr"/>
      <c r="X29" s="16" t="inlineStr"/>
      <c r="Y29" s="16" t="inlineStr"/>
      <c r="Z29" s="16" t="inlineStr"/>
      <c r="AA29" s="16" t="inlineStr"/>
      <c r="AB29" s="16" t="inlineStr"/>
    </row>
    <row r="30">
      <c r="A30" s="17" t="n">
        <v>29</v>
      </c>
      <c r="B30" s="17" t="inlineStr">
        <is>
          <t>rbi_2019-02-07</t>
        </is>
      </c>
      <c r="C30" s="17" t="inlineStr">
        <is>
          <t>Reserve Bank of India</t>
        </is>
      </c>
      <c r="D30" s="17" t="inlineStr">
        <is>
          <t>cut</t>
        </is>
      </c>
      <c r="E30" s="17" t="n">
        <v>-25</v>
      </c>
      <c r="F30" s="17" t="inlineStr">
        <is>
          <t>Scheduled RBI cut; time unknown</t>
        </is>
      </c>
      <c r="G30" s="17" t="inlineStr">
        <is>
          <t>unknown (whole India day)</t>
        </is>
      </c>
      <c r="H30" s="17" t="inlineStr">
        <is>
          <t>unknown</t>
        </is>
      </c>
      <c r="I30" s="17" t="inlineStr">
        <is>
          <t>2019-02-06 18:30:00</t>
        </is>
      </c>
      <c r="J30" s="17" t="inlineStr">
        <is>
          <t>Germany: DAX</t>
        </is>
      </c>
      <c r="K30" s="18" t="n">
        <v>43502</v>
      </c>
      <c r="L30" s="18" t="n">
        <v>43503</v>
      </c>
      <c r="M30" s="17" t="inlineStr">
        <is>
          <t>No</t>
        </is>
      </c>
      <c r="N30" s="17" t="inlineStr">
        <is>
          <t>Yes</t>
        </is>
      </c>
      <c r="O30" s="19" t="n">
        <v>11324.7197265625</v>
      </c>
      <c r="P30" s="19" t="n">
        <v>11022.01953125</v>
      </c>
      <c r="Q30" s="20" t="n">
        <v>-0.02709</v>
      </c>
      <c r="R30" s="20">
        <f>LN(P30/O30)</f>
        <v/>
      </c>
      <c r="S30" s="17">
        <f>IF(ABS(R30-Q30)&lt;0.00001,"Yes","NO")</f>
        <v/>
      </c>
      <c r="T30" s="20" t="n">
        <v>-0.01401</v>
      </c>
      <c r="U30" s="21" t="inlineStr">
        <is>
          <t>Open announcement</t>
        </is>
      </c>
      <c r="V30" s="21" t="inlineStr">
        <is>
          <t>Open price history</t>
        </is>
      </c>
      <c r="W30" s="10" t="inlineStr"/>
      <c r="X30" s="10" t="inlineStr"/>
      <c r="Y30" s="10" t="inlineStr"/>
      <c r="Z30" s="10" t="inlineStr"/>
      <c r="AA30" s="10" t="inlineStr"/>
      <c r="AB30" s="10" t="inlineStr"/>
    </row>
    <row r="31">
      <c r="A31" s="22" t="n">
        <v>30</v>
      </c>
      <c r="B31" s="22" t="inlineStr">
        <is>
          <t>rbi_2019-02-07</t>
        </is>
      </c>
      <c r="C31" s="22" t="inlineStr">
        <is>
          <t>Reserve Bank of India</t>
        </is>
      </c>
      <c r="D31" s="22" t="inlineStr">
        <is>
          <t>cut</t>
        </is>
      </c>
      <c r="E31" s="22" t="n">
        <v>-25</v>
      </c>
      <c r="F31" s="22" t="inlineStr">
        <is>
          <t>Scheduled RBI cut; time unknown</t>
        </is>
      </c>
      <c r="G31" s="22" t="inlineStr">
        <is>
          <t>unknown (whole India day)</t>
        </is>
      </c>
      <c r="H31" s="22" t="inlineStr">
        <is>
          <t>unknown</t>
        </is>
      </c>
      <c r="I31" s="22" t="inlineStr">
        <is>
          <t>2019-02-06 18:30:00</t>
        </is>
      </c>
      <c r="J31" s="22" t="inlineStr">
        <is>
          <t>India: NIFTY 50</t>
        </is>
      </c>
      <c r="K31" s="23" t="n">
        <v>43502</v>
      </c>
      <c r="L31" s="23" t="n">
        <v>43503</v>
      </c>
      <c r="M31" s="22" t="inlineStr">
        <is>
          <t>No</t>
        </is>
      </c>
      <c r="N31" s="22" t="inlineStr">
        <is>
          <t>Yes</t>
        </is>
      </c>
      <c r="O31" s="24" t="n">
        <v>11062.45</v>
      </c>
      <c r="P31" s="24" t="n">
        <v>11069.4</v>
      </c>
      <c r="Q31" s="25" t="n">
        <v>0.00063</v>
      </c>
      <c r="R31" s="25">
        <f>LN(P31/O31)</f>
        <v/>
      </c>
      <c r="S31" s="22">
        <f>IF(ABS(R31-Q31)&lt;0.00001,"Yes","NO")</f>
        <v/>
      </c>
      <c r="T31" s="25" t="n">
        <v>-0.0246</v>
      </c>
      <c r="U31" s="26" t="inlineStr">
        <is>
          <t>Open announcement</t>
        </is>
      </c>
      <c r="V31" s="26" t="inlineStr">
        <is>
          <t>Open price history</t>
        </is>
      </c>
      <c r="W31" s="16" t="inlineStr"/>
      <c r="X31" s="16" t="inlineStr"/>
      <c r="Y31" s="16" t="inlineStr"/>
      <c r="Z31" s="16" t="inlineStr"/>
      <c r="AA31" s="16" t="inlineStr"/>
      <c r="AB31" s="16" t="inlineStr"/>
    </row>
    <row r="32">
      <c r="A32" s="22" t="n">
        <v>31</v>
      </c>
      <c r="B32" s="22" t="inlineStr">
        <is>
          <t>rbi_2019-02-07</t>
        </is>
      </c>
      <c r="C32" s="22" t="inlineStr">
        <is>
          <t>Reserve Bank of India</t>
        </is>
      </c>
      <c r="D32" s="22" t="inlineStr">
        <is>
          <t>cut</t>
        </is>
      </c>
      <c r="E32" s="22" t="n">
        <v>-25</v>
      </c>
      <c r="F32" s="22" t="inlineStr">
        <is>
          <t>Scheduled RBI cut; time unknown</t>
        </is>
      </c>
      <c r="G32" s="22" t="inlineStr">
        <is>
          <t>unknown (whole India day)</t>
        </is>
      </c>
      <c r="H32" s="22" t="inlineStr">
        <is>
          <t>unknown</t>
        </is>
      </c>
      <c r="I32" s="22" t="inlineStr">
        <is>
          <t>2019-02-06 18:30:00</t>
        </is>
      </c>
      <c r="J32" s="22" t="inlineStr">
        <is>
          <t>Japan: Nikkei 225</t>
        </is>
      </c>
      <c r="K32" s="23" t="n">
        <v>43502</v>
      </c>
      <c r="L32" s="23" t="n">
        <v>43503</v>
      </c>
      <c r="M32" s="22" t="inlineStr">
        <is>
          <t>No</t>
        </is>
      </c>
      <c r="N32" s="22" t="inlineStr">
        <is>
          <t>Yes</t>
        </is>
      </c>
      <c r="O32" s="24" t="n">
        <v>20874.060546875</v>
      </c>
      <c r="P32" s="24" t="n">
        <v>20751.279296875</v>
      </c>
      <c r="Q32" s="25" t="n">
        <v>-0.0059</v>
      </c>
      <c r="R32" s="25">
        <f>LN(P32/O32)</f>
        <v/>
      </c>
      <c r="S32" s="22">
        <f>IF(ABS(R32-Q32)&lt;0.00001,"Yes","NO")</f>
        <v/>
      </c>
      <c r="T32" s="25" t="n">
        <v>0.01265</v>
      </c>
      <c r="U32" s="26" t="inlineStr">
        <is>
          <t>Open announcement</t>
        </is>
      </c>
      <c r="V32" s="26" t="inlineStr">
        <is>
          <t>Open price history</t>
        </is>
      </c>
      <c r="W32" s="16" t="inlineStr"/>
      <c r="X32" s="16" t="inlineStr"/>
      <c r="Y32" s="16" t="inlineStr"/>
      <c r="Z32" s="16" t="inlineStr"/>
      <c r="AA32" s="16" t="inlineStr"/>
      <c r="AB32" s="16" t="inlineStr"/>
    </row>
    <row r="33">
      <c r="A33" s="22" t="n">
        <v>32</v>
      </c>
      <c r="B33" s="22" t="inlineStr">
        <is>
          <t>rbi_2019-02-07</t>
        </is>
      </c>
      <c r="C33" s="22" t="inlineStr">
        <is>
          <t>Reserve Bank of India</t>
        </is>
      </c>
      <c r="D33" s="22" t="inlineStr">
        <is>
          <t>cut</t>
        </is>
      </c>
      <c r="E33" s="22" t="n">
        <v>-25</v>
      </c>
      <c r="F33" s="22" t="inlineStr">
        <is>
          <t>Scheduled RBI cut; time unknown</t>
        </is>
      </c>
      <c r="G33" s="22" t="inlineStr">
        <is>
          <t>unknown (whole India day)</t>
        </is>
      </c>
      <c r="H33" s="22" t="inlineStr">
        <is>
          <t>unknown</t>
        </is>
      </c>
      <c r="I33" s="22" t="inlineStr">
        <is>
          <t>2019-02-06 18:30:00</t>
        </is>
      </c>
      <c r="J33" s="22" t="inlineStr">
        <is>
          <t>United States: S&amp;P 500</t>
        </is>
      </c>
      <c r="K33" s="23" t="n">
        <v>43501</v>
      </c>
      <c r="L33" s="23" t="n">
        <v>43502</v>
      </c>
      <c r="M33" s="22" t="inlineStr">
        <is>
          <t>Yes</t>
        </is>
      </c>
      <c r="N33" s="22" t="inlineStr">
        <is>
          <t>Yes</t>
        </is>
      </c>
      <c r="O33" s="24" t="n">
        <v>2737.699951171875</v>
      </c>
      <c r="P33" s="24" t="n">
        <v>2731.610107421875</v>
      </c>
      <c r="Q33" s="25" t="n">
        <v>-0.00223</v>
      </c>
      <c r="R33" s="25">
        <f>LN(P33/O33)</f>
        <v/>
      </c>
      <c r="S33" s="22">
        <f>IF(ABS(R33-Q33)&lt;0.00001,"Yes","NO")</f>
        <v/>
      </c>
      <c r="T33" s="25" t="n">
        <v>0.00256</v>
      </c>
      <c r="U33" s="26" t="inlineStr">
        <is>
          <t>Open announcement</t>
        </is>
      </c>
      <c r="V33" s="26" t="inlineStr">
        <is>
          <t>Open price history</t>
        </is>
      </c>
      <c r="W33" s="16" t="inlineStr"/>
      <c r="X33" s="16" t="inlineStr"/>
      <c r="Y33" s="16" t="inlineStr"/>
      <c r="Z33" s="16" t="inlineStr"/>
      <c r="AA33" s="16" t="inlineStr"/>
      <c r="AB33" s="16" t="inlineStr"/>
    </row>
    <row r="34">
      <c r="A34" s="5" t="n">
        <v>33</v>
      </c>
      <c r="B34" s="5" t="inlineStr">
        <is>
          <t>boj_2016-01-29</t>
        </is>
      </c>
      <c r="C34" s="5" t="inlineStr">
        <is>
          <t>Bank of Japan</t>
        </is>
      </c>
      <c r="D34" s="5" t="inlineStr">
        <is>
          <t>unclassified</t>
        </is>
      </c>
      <c r="E34" s="5" t="n">
        <v/>
      </c>
      <c r="F34" s="5" t="inlineStr">
        <is>
          <t>Negative-rate decision; time from the minutes, during Tokyo trading</t>
        </is>
      </c>
      <c r="G34" s="5" t="inlineStr">
        <is>
          <t>12:31 Tokyo</t>
        </is>
      </c>
      <c r="H34" s="5" t="inlineStr">
        <is>
          <t>approximate</t>
        </is>
      </c>
      <c r="I34" s="5" t="inlineStr">
        <is>
          <t>2016-01-29 03:31:00</t>
        </is>
      </c>
      <c r="J34" s="5" t="inlineStr">
        <is>
          <t>Germany: DAX</t>
        </is>
      </c>
      <c r="K34" s="6" t="n">
        <v>42397</v>
      </c>
      <c r="L34" s="6" t="n">
        <v>42398</v>
      </c>
      <c r="M34" s="5" t="inlineStr">
        <is>
          <t>No</t>
        </is>
      </c>
      <c r="N34" s="5" t="inlineStr">
        <is>
          <t>No</t>
        </is>
      </c>
      <c r="O34" s="7" t="n">
        <v>9639.58984375</v>
      </c>
      <c r="P34" s="7" t="n">
        <v>9798.1103515625</v>
      </c>
      <c r="Q34" s="8" t="n">
        <v>0.01631</v>
      </c>
      <c r="R34" s="8">
        <f>LN(P34/O34)</f>
        <v/>
      </c>
      <c r="S34" s="5">
        <f>IF(ABS(R34-Q34)&lt;0.00001,"Yes","NO")</f>
        <v/>
      </c>
      <c r="T34" s="8" t="n">
        <v>-0.02588</v>
      </c>
      <c r="U34" s="9" t="inlineStr">
        <is>
          <t>Open announcement</t>
        </is>
      </c>
      <c r="V34" s="9" t="inlineStr">
        <is>
          <t>Open price history</t>
        </is>
      </c>
      <c r="W34" s="10" t="inlineStr"/>
      <c r="X34" s="10" t="inlineStr"/>
      <c r="Y34" s="10" t="inlineStr"/>
      <c r="Z34" s="10" t="inlineStr"/>
      <c r="AA34" s="10" t="inlineStr"/>
      <c r="AB34" s="10" t="inlineStr"/>
    </row>
    <row r="35">
      <c r="A35" s="11" t="n">
        <v>34</v>
      </c>
      <c r="B35" s="11" t="inlineStr">
        <is>
          <t>boj_2016-01-29</t>
        </is>
      </c>
      <c r="C35" s="11" t="inlineStr">
        <is>
          <t>Bank of Japan</t>
        </is>
      </c>
      <c r="D35" s="11" t="inlineStr">
        <is>
          <t>unclassified</t>
        </is>
      </c>
      <c r="E35" s="11" t="n">
        <v/>
      </c>
      <c r="F35" s="11" t="inlineStr">
        <is>
          <t>Negative-rate decision; time from the minutes, during Tokyo trading</t>
        </is>
      </c>
      <c r="G35" s="11" t="inlineStr">
        <is>
          <t>12:31 Tokyo</t>
        </is>
      </c>
      <c r="H35" s="11" t="inlineStr">
        <is>
          <t>approximate</t>
        </is>
      </c>
      <c r="I35" s="11" t="inlineStr">
        <is>
          <t>2016-01-29 03:31:00</t>
        </is>
      </c>
      <c r="J35" s="11" t="inlineStr">
        <is>
          <t>India: NIFTY 50</t>
        </is>
      </c>
      <c r="K35" s="12" t="n">
        <v>42397</v>
      </c>
      <c r="L35" s="12" t="n">
        <v>42398</v>
      </c>
      <c r="M35" s="11" t="inlineStr">
        <is>
          <t>No</t>
        </is>
      </c>
      <c r="N35" s="11" t="inlineStr">
        <is>
          <t>No</t>
        </is>
      </c>
      <c r="O35" s="13" t="n">
        <v>7424.65</v>
      </c>
      <c r="P35" s="13" t="n">
        <v>7563.55</v>
      </c>
      <c r="Q35" s="14" t="n">
        <v>0.01854</v>
      </c>
      <c r="R35" s="14">
        <f>LN(P35/O35)</f>
        <v/>
      </c>
      <c r="S35" s="11">
        <f>IF(ABS(R35-Q35)&lt;0.00001,"Yes","NO")</f>
        <v/>
      </c>
      <c r="T35" s="14" t="n">
        <v>-0.00279</v>
      </c>
      <c r="U35" s="15" t="inlineStr">
        <is>
          <t>Open announcement</t>
        </is>
      </c>
      <c r="V35" s="15" t="inlineStr">
        <is>
          <t>Open price history</t>
        </is>
      </c>
      <c r="W35" s="16" t="inlineStr"/>
      <c r="X35" s="16" t="inlineStr"/>
      <c r="Y35" s="16" t="inlineStr"/>
      <c r="Z35" s="16" t="inlineStr"/>
      <c r="AA35" s="16" t="inlineStr"/>
      <c r="AB35" s="16" t="inlineStr"/>
    </row>
    <row r="36">
      <c r="A36" s="11" t="n">
        <v>35</v>
      </c>
      <c r="B36" s="11" t="inlineStr">
        <is>
          <t>boj_2016-01-29</t>
        </is>
      </c>
      <c r="C36" s="11" t="inlineStr">
        <is>
          <t>Bank of Japan</t>
        </is>
      </c>
      <c r="D36" s="11" t="inlineStr">
        <is>
          <t>unclassified</t>
        </is>
      </c>
      <c r="E36" s="11" t="n">
        <v/>
      </c>
      <c r="F36" s="11" t="inlineStr">
        <is>
          <t>Negative-rate decision; time from the minutes, during Tokyo trading</t>
        </is>
      </c>
      <c r="G36" s="11" t="inlineStr">
        <is>
          <t>12:31 Tokyo</t>
        </is>
      </c>
      <c r="H36" s="11" t="inlineStr">
        <is>
          <t>approximate</t>
        </is>
      </c>
      <c r="I36" s="11" t="inlineStr">
        <is>
          <t>2016-01-29 03:31:00</t>
        </is>
      </c>
      <c r="J36" s="11" t="inlineStr">
        <is>
          <t>Japan: Nikkei 225</t>
        </is>
      </c>
      <c r="K36" s="12" t="n">
        <v>42397</v>
      </c>
      <c r="L36" s="12" t="n">
        <v>42398</v>
      </c>
      <c r="M36" s="11" t="inlineStr">
        <is>
          <t>Yes</t>
        </is>
      </c>
      <c r="N36" s="11" t="inlineStr">
        <is>
          <t>No</t>
        </is>
      </c>
      <c r="O36" s="13" t="n">
        <v>17041.44921875</v>
      </c>
      <c r="P36" s="13" t="n">
        <v>17518.30078125</v>
      </c>
      <c r="Q36" s="14" t="n">
        <v>0.0276</v>
      </c>
      <c r="R36" s="14">
        <f>LN(P36/O36)</f>
        <v/>
      </c>
      <c r="S36" s="11">
        <f>IF(ABS(R36-Q36)&lt;0.00001,"Yes","NO")</f>
        <v/>
      </c>
      <c r="T36" s="14" t="n">
        <v>0.00021</v>
      </c>
      <c r="U36" s="15" t="inlineStr">
        <is>
          <t>Open announcement</t>
        </is>
      </c>
      <c r="V36" s="15" t="inlineStr">
        <is>
          <t>Open price history</t>
        </is>
      </c>
      <c r="W36" s="16" t="inlineStr"/>
      <c r="X36" s="16" t="inlineStr"/>
      <c r="Y36" s="16" t="inlineStr"/>
      <c r="Z36" s="16" t="inlineStr"/>
      <c r="AA36" s="16" t="inlineStr"/>
      <c r="AB36" s="16" t="inlineStr"/>
    </row>
    <row r="37">
      <c r="A37" s="11" t="n">
        <v>36</v>
      </c>
      <c r="B37" s="11" t="inlineStr">
        <is>
          <t>boj_2016-01-29</t>
        </is>
      </c>
      <c r="C37" s="11" t="inlineStr">
        <is>
          <t>Bank of Japan</t>
        </is>
      </c>
      <c r="D37" s="11" t="inlineStr">
        <is>
          <t>unclassified</t>
        </is>
      </c>
      <c r="E37" s="11" t="n">
        <v/>
      </c>
      <c r="F37" s="11" t="inlineStr">
        <is>
          <t>Negative-rate decision; time from the minutes, during Tokyo trading</t>
        </is>
      </c>
      <c r="G37" s="11" t="inlineStr">
        <is>
          <t>12:31 Tokyo</t>
        </is>
      </c>
      <c r="H37" s="11" t="inlineStr">
        <is>
          <t>approximate</t>
        </is>
      </c>
      <c r="I37" s="11" t="inlineStr">
        <is>
          <t>2016-01-29 03:31:00</t>
        </is>
      </c>
      <c r="J37" s="11" t="inlineStr">
        <is>
          <t>United States: S&amp;P 500</t>
        </is>
      </c>
      <c r="K37" s="12" t="n">
        <v>42397</v>
      </c>
      <c r="L37" s="12" t="n">
        <v>42398</v>
      </c>
      <c r="M37" s="11" t="inlineStr">
        <is>
          <t>No</t>
        </is>
      </c>
      <c r="N37" s="11" t="inlineStr">
        <is>
          <t>No</t>
        </is>
      </c>
      <c r="O37" s="13" t="n">
        <v>1893.359985351562</v>
      </c>
      <c r="P37" s="13" t="n">
        <v>1940.239990234375</v>
      </c>
      <c r="Q37" s="14" t="n">
        <v>0.02446</v>
      </c>
      <c r="R37" s="14">
        <f>LN(P37/O37)</f>
        <v/>
      </c>
      <c r="S37" s="11">
        <f>IF(ABS(R37-Q37)&lt;0.00001,"Yes","NO")</f>
        <v/>
      </c>
      <c r="T37" s="14" t="n">
        <v>0.0116</v>
      </c>
      <c r="U37" s="15" t="inlineStr">
        <is>
          <t>Open announcement</t>
        </is>
      </c>
      <c r="V37" s="15" t="inlineStr">
        <is>
          <t>Open price history</t>
        </is>
      </c>
      <c r="W37" s="16" t="inlineStr"/>
      <c r="X37" s="16" t="inlineStr"/>
      <c r="Y37" s="16" t="inlineStr"/>
      <c r="Z37" s="16" t="inlineStr"/>
      <c r="AA37" s="16" t="inlineStr"/>
      <c r="AB37" s="16" t="inlineStr"/>
    </row>
    <row r="38">
      <c r="A38" s="17" t="n">
        <v>37</v>
      </c>
      <c r="B38" s="17" t="inlineStr">
        <is>
          <t>boj_2024-03-19</t>
        </is>
      </c>
      <c r="C38" s="17" t="inlineStr">
        <is>
          <t>Bank of Japan</t>
        </is>
      </c>
      <c r="D38" s="17" t="inlineStr">
        <is>
          <t>hike</t>
        </is>
      </c>
      <c r="E38" s="17" t="n">
        <v>15</v>
      </c>
      <c r="F38" s="17" t="inlineStr">
        <is>
          <t>BoJ ends negative rates; time from the minutes</t>
        </is>
      </c>
      <c r="G38" s="17" t="inlineStr">
        <is>
          <t>12:28 Tokyo</t>
        </is>
      </c>
      <c r="H38" s="17" t="inlineStr">
        <is>
          <t>approximate</t>
        </is>
      </c>
      <c r="I38" s="17" t="inlineStr">
        <is>
          <t>2024-03-19 03:28:00</t>
        </is>
      </c>
      <c r="J38" s="17" t="inlineStr">
        <is>
          <t>Germany: DAX</t>
        </is>
      </c>
      <c r="K38" s="18" t="n">
        <v>45369</v>
      </c>
      <c r="L38" s="18" t="n">
        <v>45370</v>
      </c>
      <c r="M38" s="17" t="inlineStr">
        <is>
          <t>No</t>
        </is>
      </c>
      <c r="N38" s="17" t="inlineStr">
        <is>
          <t>No</t>
        </is>
      </c>
      <c r="O38" s="19" t="n">
        <v>17932.6796875</v>
      </c>
      <c r="P38" s="19" t="n">
        <v>17987.490234375</v>
      </c>
      <c r="Q38" s="20" t="n">
        <v>0.00305</v>
      </c>
      <c r="R38" s="20">
        <f>LN(P38/O38)</f>
        <v/>
      </c>
      <c r="S38" s="17">
        <f>IF(ABS(R38-Q38)&lt;0.00001,"Yes","NO")</f>
        <v/>
      </c>
      <c r="T38" s="20" t="n">
        <v>0.01816</v>
      </c>
      <c r="U38" s="21" t="inlineStr">
        <is>
          <t>Open announcement</t>
        </is>
      </c>
      <c r="V38" s="21" t="inlineStr">
        <is>
          <t>Open price history</t>
        </is>
      </c>
      <c r="W38" s="10" t="inlineStr"/>
      <c r="X38" s="10" t="inlineStr"/>
      <c r="Y38" s="10" t="inlineStr"/>
      <c r="Z38" s="10" t="inlineStr"/>
      <c r="AA38" s="10" t="inlineStr"/>
      <c r="AB38" s="10" t="inlineStr"/>
    </row>
    <row r="39">
      <c r="A39" s="22" t="n">
        <v>38</v>
      </c>
      <c r="B39" s="22" t="inlineStr">
        <is>
          <t>boj_2024-03-19</t>
        </is>
      </c>
      <c r="C39" s="22" t="inlineStr">
        <is>
          <t>Bank of Japan</t>
        </is>
      </c>
      <c r="D39" s="22" t="inlineStr">
        <is>
          <t>hike</t>
        </is>
      </c>
      <c r="E39" s="22" t="n">
        <v>15</v>
      </c>
      <c r="F39" s="22" t="inlineStr">
        <is>
          <t>BoJ ends negative rates; time from the minutes</t>
        </is>
      </c>
      <c r="G39" s="22" t="inlineStr">
        <is>
          <t>12:28 Tokyo</t>
        </is>
      </c>
      <c r="H39" s="22" t="inlineStr">
        <is>
          <t>approximate</t>
        </is>
      </c>
      <c r="I39" s="22" t="inlineStr">
        <is>
          <t>2024-03-19 03:28:00</t>
        </is>
      </c>
      <c r="J39" s="22" t="inlineStr">
        <is>
          <t>India: NIFTY 50</t>
        </is>
      </c>
      <c r="K39" s="23" t="n">
        <v>45369</v>
      </c>
      <c r="L39" s="23" t="n">
        <v>45370</v>
      </c>
      <c r="M39" s="22" t="inlineStr">
        <is>
          <t>No</t>
        </is>
      </c>
      <c r="N39" s="22" t="inlineStr">
        <is>
          <t>No</t>
        </is>
      </c>
      <c r="O39" s="24" t="n">
        <v>22055.7</v>
      </c>
      <c r="P39" s="24" t="n">
        <v>21817.45</v>
      </c>
      <c r="Q39" s="25" t="n">
        <v>-0.01086</v>
      </c>
      <c r="R39" s="25">
        <f>LN(P39/O39)</f>
        <v/>
      </c>
      <c r="S39" s="22">
        <f>IF(ABS(R39-Q39)&lt;0.00001,"Yes","NO")</f>
        <v/>
      </c>
      <c r="T39" s="25" t="n">
        <v>-0.00232</v>
      </c>
      <c r="U39" s="26" t="inlineStr">
        <is>
          <t>Open announcement</t>
        </is>
      </c>
      <c r="V39" s="26" t="inlineStr">
        <is>
          <t>Open price history</t>
        </is>
      </c>
      <c r="W39" s="16" t="inlineStr"/>
      <c r="X39" s="16" t="inlineStr"/>
      <c r="Y39" s="16" t="inlineStr"/>
      <c r="Z39" s="16" t="inlineStr"/>
      <c r="AA39" s="16" t="inlineStr"/>
      <c r="AB39" s="16" t="inlineStr"/>
    </row>
    <row r="40">
      <c r="A40" s="22" t="n">
        <v>39</v>
      </c>
      <c r="B40" s="22" t="inlineStr">
        <is>
          <t>boj_2024-03-19</t>
        </is>
      </c>
      <c r="C40" s="22" t="inlineStr">
        <is>
          <t>Bank of Japan</t>
        </is>
      </c>
      <c r="D40" s="22" t="inlineStr">
        <is>
          <t>hike</t>
        </is>
      </c>
      <c r="E40" s="22" t="n">
        <v>15</v>
      </c>
      <c r="F40" s="22" t="inlineStr">
        <is>
          <t>BoJ ends negative rates; time from the minutes</t>
        </is>
      </c>
      <c r="G40" s="22" t="inlineStr">
        <is>
          <t>12:28 Tokyo</t>
        </is>
      </c>
      <c r="H40" s="22" t="inlineStr">
        <is>
          <t>approximate</t>
        </is>
      </c>
      <c r="I40" s="22" t="inlineStr">
        <is>
          <t>2024-03-19 03:28:00</t>
        </is>
      </c>
      <c r="J40" s="22" t="inlineStr">
        <is>
          <t>Japan: Nikkei 225</t>
        </is>
      </c>
      <c r="K40" s="23" t="n">
        <v>45369</v>
      </c>
      <c r="L40" s="23" t="n">
        <v>45370</v>
      </c>
      <c r="M40" s="22" t="inlineStr">
        <is>
          <t>Yes</t>
        </is>
      </c>
      <c r="N40" s="22" t="inlineStr">
        <is>
          <t>No</t>
        </is>
      </c>
      <c r="O40" s="24" t="n">
        <v>39740.44140625</v>
      </c>
      <c r="P40" s="24" t="n">
        <v>40003.6015625</v>
      </c>
      <c r="Q40" s="25" t="n">
        <v>0.0066</v>
      </c>
      <c r="R40" s="25">
        <f>LN(P40/O40)</f>
        <v/>
      </c>
      <c r="S40" s="22">
        <f>IF(ABS(R40-Q40)&lt;0.00001,"Yes","NO")</f>
        <v/>
      </c>
      <c r="T40" s="25" t="n">
        <v>0.01641</v>
      </c>
      <c r="U40" s="26" t="inlineStr">
        <is>
          <t>Open announcement</t>
        </is>
      </c>
      <c r="V40" s="26" t="inlineStr">
        <is>
          <t>Open price history</t>
        </is>
      </c>
      <c r="W40" s="16" t="inlineStr"/>
      <c r="X40" s="16" t="inlineStr"/>
      <c r="Y40" s="16" t="inlineStr"/>
      <c r="Z40" s="16" t="inlineStr"/>
      <c r="AA40" s="16" t="inlineStr"/>
      <c r="AB40" s="16" t="inlineStr"/>
    </row>
    <row r="41">
      <c r="A41" s="22" t="n">
        <v>40</v>
      </c>
      <c r="B41" s="22" t="inlineStr">
        <is>
          <t>boj_2024-03-19</t>
        </is>
      </c>
      <c r="C41" s="22" t="inlineStr">
        <is>
          <t>Bank of Japan</t>
        </is>
      </c>
      <c r="D41" s="22" t="inlineStr">
        <is>
          <t>hike</t>
        </is>
      </c>
      <c r="E41" s="22" t="n">
        <v>15</v>
      </c>
      <c r="F41" s="22" t="inlineStr">
        <is>
          <t>BoJ ends negative rates; time from the minutes</t>
        </is>
      </c>
      <c r="G41" s="22" t="inlineStr">
        <is>
          <t>12:28 Tokyo</t>
        </is>
      </c>
      <c r="H41" s="22" t="inlineStr">
        <is>
          <t>approximate</t>
        </is>
      </c>
      <c r="I41" s="22" t="inlineStr">
        <is>
          <t>2024-03-19 03:28:00</t>
        </is>
      </c>
      <c r="J41" s="22" t="inlineStr">
        <is>
          <t>United States: S&amp;P 500</t>
        </is>
      </c>
      <c r="K41" s="23" t="n">
        <v>45369</v>
      </c>
      <c r="L41" s="23" t="n">
        <v>45370</v>
      </c>
      <c r="M41" s="22" t="inlineStr">
        <is>
          <t>No</t>
        </is>
      </c>
      <c r="N41" s="22" t="inlineStr">
        <is>
          <t>No</t>
        </is>
      </c>
      <c r="O41" s="24" t="n">
        <v>5149.419921875</v>
      </c>
      <c r="P41" s="24" t="n">
        <v>5178.509765625</v>
      </c>
      <c r="Q41" s="25" t="n">
        <v>0.00563</v>
      </c>
      <c r="R41" s="25">
        <f>LN(P41/O41)</f>
        <v/>
      </c>
      <c r="S41" s="22">
        <f>IF(ABS(R41-Q41)&lt;0.00001,"Yes","NO")</f>
        <v/>
      </c>
      <c r="T41" s="25" t="n">
        <v>0.01327</v>
      </c>
      <c r="U41" s="26" t="inlineStr">
        <is>
          <t>Open announcement</t>
        </is>
      </c>
      <c r="V41" s="26" t="inlineStr">
        <is>
          <t>Open price history</t>
        </is>
      </c>
      <c r="W41" s="16" t="inlineStr"/>
      <c r="X41" s="16" t="inlineStr"/>
      <c r="Y41" s="16" t="inlineStr"/>
      <c r="Z41" s="16" t="inlineStr"/>
      <c r="AA41" s="16" t="inlineStr"/>
      <c r="AB41" s="16" t="inlineStr"/>
    </row>
  </sheetData>
  <autoFilter ref="A1:AB41"/>
  <dataValidations count="1">
    <dataValidation sqref="W2:Z2 W3:Z3 W4:Z4 W5:Z5 W6:Z6 W7:Z7 W8:Z8 W9:Z9 W10:Z10 W11:Z11 W12:Z12 W13:Z13 W14:Z14 W15:Z15 W16:Z16 W17:Z17 W18:Z18 W19:Z19 W20:Z20 W21:Z21 W22:Z22 W23:Z23 W24:Z24 W25:Z25 W26:Z26 W27:Z27 W28:Z28 W29:Z29 W30:Z30 W31:Z31 W32:Z32 W33:Z33 W34:Z34 W35:Z35 W36:Z36 W37:Z37 W38:Z38 W39:Z39 W40:Z40 W41:Z41" showDropDown="0" showInputMessage="0" showErrorMessage="0" allowBlank="1" type="list">
      <formula1>"Yes,No,Unsure"</formula1>
    </dataValidation>
  </dataValidations>
  <hyperlinks>
    <hyperlink xmlns:r="http://schemas.openxmlformats.org/officeDocument/2006/relationships" ref="U2" r:id="rId1"/>
    <hyperlink xmlns:r="http://schemas.openxmlformats.org/officeDocument/2006/relationships" ref="V2" r:id="rId2"/>
    <hyperlink xmlns:r="http://schemas.openxmlformats.org/officeDocument/2006/relationships" ref="U3" r:id="rId3"/>
    <hyperlink xmlns:r="http://schemas.openxmlformats.org/officeDocument/2006/relationships" ref="V3" r:id="rId4"/>
    <hyperlink xmlns:r="http://schemas.openxmlformats.org/officeDocument/2006/relationships" ref="U4" r:id="rId5"/>
    <hyperlink xmlns:r="http://schemas.openxmlformats.org/officeDocument/2006/relationships" ref="V4" r:id="rId6"/>
    <hyperlink xmlns:r="http://schemas.openxmlformats.org/officeDocument/2006/relationships" ref="U5" r:id="rId7"/>
    <hyperlink xmlns:r="http://schemas.openxmlformats.org/officeDocument/2006/relationships" ref="V5" r:id="rId8"/>
    <hyperlink xmlns:r="http://schemas.openxmlformats.org/officeDocument/2006/relationships" ref="U6" r:id="rId9"/>
    <hyperlink xmlns:r="http://schemas.openxmlformats.org/officeDocument/2006/relationships" ref="V6" r:id="rId10"/>
    <hyperlink xmlns:r="http://schemas.openxmlformats.org/officeDocument/2006/relationships" ref="U7" r:id="rId11"/>
    <hyperlink xmlns:r="http://schemas.openxmlformats.org/officeDocument/2006/relationships" ref="V7" r:id="rId12"/>
    <hyperlink xmlns:r="http://schemas.openxmlformats.org/officeDocument/2006/relationships" ref="U8" r:id="rId13"/>
    <hyperlink xmlns:r="http://schemas.openxmlformats.org/officeDocument/2006/relationships" ref="V8" r:id="rId14"/>
    <hyperlink xmlns:r="http://schemas.openxmlformats.org/officeDocument/2006/relationships" ref="U9" r:id="rId15"/>
    <hyperlink xmlns:r="http://schemas.openxmlformats.org/officeDocument/2006/relationships" ref="V9" r:id="rId16"/>
    <hyperlink xmlns:r="http://schemas.openxmlformats.org/officeDocument/2006/relationships" ref="U10" r:id="rId17"/>
    <hyperlink xmlns:r="http://schemas.openxmlformats.org/officeDocument/2006/relationships" ref="V10" r:id="rId18"/>
    <hyperlink xmlns:r="http://schemas.openxmlformats.org/officeDocument/2006/relationships" ref="U11" r:id="rId19"/>
    <hyperlink xmlns:r="http://schemas.openxmlformats.org/officeDocument/2006/relationships" ref="V11" r:id="rId20"/>
    <hyperlink xmlns:r="http://schemas.openxmlformats.org/officeDocument/2006/relationships" ref="U12" r:id="rId21"/>
    <hyperlink xmlns:r="http://schemas.openxmlformats.org/officeDocument/2006/relationships" ref="V12" r:id="rId22"/>
    <hyperlink xmlns:r="http://schemas.openxmlformats.org/officeDocument/2006/relationships" ref="U13" r:id="rId23"/>
    <hyperlink xmlns:r="http://schemas.openxmlformats.org/officeDocument/2006/relationships" ref="V13" r:id="rId24"/>
    <hyperlink xmlns:r="http://schemas.openxmlformats.org/officeDocument/2006/relationships" ref="U14" r:id="rId25"/>
    <hyperlink xmlns:r="http://schemas.openxmlformats.org/officeDocument/2006/relationships" ref="V14" r:id="rId26"/>
    <hyperlink xmlns:r="http://schemas.openxmlformats.org/officeDocument/2006/relationships" ref="U15" r:id="rId27"/>
    <hyperlink xmlns:r="http://schemas.openxmlformats.org/officeDocument/2006/relationships" ref="V15" r:id="rId28"/>
    <hyperlink xmlns:r="http://schemas.openxmlformats.org/officeDocument/2006/relationships" ref="U16" r:id="rId29"/>
    <hyperlink xmlns:r="http://schemas.openxmlformats.org/officeDocument/2006/relationships" ref="V16" r:id="rId30"/>
    <hyperlink xmlns:r="http://schemas.openxmlformats.org/officeDocument/2006/relationships" ref="U17" r:id="rId31"/>
    <hyperlink xmlns:r="http://schemas.openxmlformats.org/officeDocument/2006/relationships" ref="V17" r:id="rId32"/>
    <hyperlink xmlns:r="http://schemas.openxmlformats.org/officeDocument/2006/relationships" ref="U18" r:id="rId33"/>
    <hyperlink xmlns:r="http://schemas.openxmlformats.org/officeDocument/2006/relationships" ref="V18" r:id="rId34"/>
    <hyperlink xmlns:r="http://schemas.openxmlformats.org/officeDocument/2006/relationships" ref="U19" r:id="rId35"/>
    <hyperlink xmlns:r="http://schemas.openxmlformats.org/officeDocument/2006/relationships" ref="V19" r:id="rId36"/>
    <hyperlink xmlns:r="http://schemas.openxmlformats.org/officeDocument/2006/relationships" ref="U20" r:id="rId37"/>
    <hyperlink xmlns:r="http://schemas.openxmlformats.org/officeDocument/2006/relationships" ref="V20" r:id="rId38"/>
    <hyperlink xmlns:r="http://schemas.openxmlformats.org/officeDocument/2006/relationships" ref="U21" r:id="rId39"/>
    <hyperlink xmlns:r="http://schemas.openxmlformats.org/officeDocument/2006/relationships" ref="V21" r:id="rId40"/>
    <hyperlink xmlns:r="http://schemas.openxmlformats.org/officeDocument/2006/relationships" ref="U22" r:id="rId41"/>
    <hyperlink xmlns:r="http://schemas.openxmlformats.org/officeDocument/2006/relationships" ref="V22" r:id="rId42"/>
    <hyperlink xmlns:r="http://schemas.openxmlformats.org/officeDocument/2006/relationships" ref="U23" r:id="rId43"/>
    <hyperlink xmlns:r="http://schemas.openxmlformats.org/officeDocument/2006/relationships" ref="V23" r:id="rId44"/>
    <hyperlink xmlns:r="http://schemas.openxmlformats.org/officeDocument/2006/relationships" ref="U24" r:id="rId45"/>
    <hyperlink xmlns:r="http://schemas.openxmlformats.org/officeDocument/2006/relationships" ref="V24" r:id="rId46"/>
    <hyperlink xmlns:r="http://schemas.openxmlformats.org/officeDocument/2006/relationships" ref="U25" r:id="rId47"/>
    <hyperlink xmlns:r="http://schemas.openxmlformats.org/officeDocument/2006/relationships" ref="V25" r:id="rId48"/>
    <hyperlink xmlns:r="http://schemas.openxmlformats.org/officeDocument/2006/relationships" ref="U26" r:id="rId49"/>
    <hyperlink xmlns:r="http://schemas.openxmlformats.org/officeDocument/2006/relationships" ref="V26" r:id="rId50"/>
    <hyperlink xmlns:r="http://schemas.openxmlformats.org/officeDocument/2006/relationships" ref="U27" r:id="rId51"/>
    <hyperlink xmlns:r="http://schemas.openxmlformats.org/officeDocument/2006/relationships" ref="V27" r:id="rId52"/>
    <hyperlink xmlns:r="http://schemas.openxmlformats.org/officeDocument/2006/relationships" ref="U28" r:id="rId53"/>
    <hyperlink xmlns:r="http://schemas.openxmlformats.org/officeDocument/2006/relationships" ref="V28" r:id="rId54"/>
    <hyperlink xmlns:r="http://schemas.openxmlformats.org/officeDocument/2006/relationships" ref="U29" r:id="rId55"/>
    <hyperlink xmlns:r="http://schemas.openxmlformats.org/officeDocument/2006/relationships" ref="V29" r:id="rId56"/>
    <hyperlink xmlns:r="http://schemas.openxmlformats.org/officeDocument/2006/relationships" ref="U30" r:id="rId57"/>
    <hyperlink xmlns:r="http://schemas.openxmlformats.org/officeDocument/2006/relationships" ref="V30" r:id="rId58"/>
    <hyperlink xmlns:r="http://schemas.openxmlformats.org/officeDocument/2006/relationships" ref="U31" r:id="rId59"/>
    <hyperlink xmlns:r="http://schemas.openxmlformats.org/officeDocument/2006/relationships" ref="V31" r:id="rId60"/>
    <hyperlink xmlns:r="http://schemas.openxmlformats.org/officeDocument/2006/relationships" ref="U32" r:id="rId61"/>
    <hyperlink xmlns:r="http://schemas.openxmlformats.org/officeDocument/2006/relationships" ref="V32" r:id="rId62"/>
    <hyperlink xmlns:r="http://schemas.openxmlformats.org/officeDocument/2006/relationships" ref="U33" r:id="rId63"/>
    <hyperlink xmlns:r="http://schemas.openxmlformats.org/officeDocument/2006/relationships" ref="V33" r:id="rId64"/>
    <hyperlink xmlns:r="http://schemas.openxmlformats.org/officeDocument/2006/relationships" ref="U34" r:id="rId65"/>
    <hyperlink xmlns:r="http://schemas.openxmlformats.org/officeDocument/2006/relationships" ref="V34" r:id="rId66"/>
    <hyperlink xmlns:r="http://schemas.openxmlformats.org/officeDocument/2006/relationships" ref="U35" r:id="rId67"/>
    <hyperlink xmlns:r="http://schemas.openxmlformats.org/officeDocument/2006/relationships" ref="V35" r:id="rId68"/>
    <hyperlink xmlns:r="http://schemas.openxmlformats.org/officeDocument/2006/relationships" ref="U36" r:id="rId69"/>
    <hyperlink xmlns:r="http://schemas.openxmlformats.org/officeDocument/2006/relationships" ref="V36" r:id="rId70"/>
    <hyperlink xmlns:r="http://schemas.openxmlformats.org/officeDocument/2006/relationships" ref="U37" r:id="rId71"/>
    <hyperlink xmlns:r="http://schemas.openxmlformats.org/officeDocument/2006/relationships" ref="V37" r:id="rId72"/>
    <hyperlink xmlns:r="http://schemas.openxmlformats.org/officeDocument/2006/relationships" ref="U38" r:id="rId73"/>
    <hyperlink xmlns:r="http://schemas.openxmlformats.org/officeDocument/2006/relationships" ref="V38" r:id="rId74"/>
    <hyperlink xmlns:r="http://schemas.openxmlformats.org/officeDocument/2006/relationships" ref="U39" r:id="rId75"/>
    <hyperlink xmlns:r="http://schemas.openxmlformats.org/officeDocument/2006/relationships" ref="V39" r:id="rId76"/>
    <hyperlink xmlns:r="http://schemas.openxmlformats.org/officeDocument/2006/relationships" ref="U40" r:id="rId77"/>
    <hyperlink xmlns:r="http://schemas.openxmlformats.org/officeDocument/2006/relationships" ref="V40" r:id="rId78"/>
    <hyperlink xmlns:r="http://schemas.openxmlformats.org/officeDocument/2006/relationships" ref="U41" r:id="rId79"/>
    <hyperlink xmlns:r="http://schemas.openxmlformats.org/officeDocument/2006/relationships" ref="V41" r:id="rId8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2026-10-13T12:48:42Z</dcterms:created>
  <dcterms:modified xmlns:dcterms="http://purl.org/dc/terms/" xmlns:xsi="http://www.w3.org/2001/XMLSchema-instance" xsi:type="dcterms:W3CDTF">2026-10-13T12:48:42Z</dcterms:modified>
</cp:coreProperties>
</file>